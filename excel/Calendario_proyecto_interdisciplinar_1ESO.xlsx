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Calendario" state="visible" r:id="rId5"/>
    <sheet sheetId="3" name="Mural" state="visible" r:id="rId6"/>
    <sheet sheetId="4" name="Aportaciones" state="visible" r:id="rId7"/>
    <sheet sheetId="5" name="Criterios" state="visible" r:id="rId8"/>
    <sheet sheetId="6" name="Materias" state="visible" r:id="rId9"/>
    <sheet sheetId="7" name="Panel" state="visible" r:id="rId10"/>
  </sheets>
  <calcPr calcId="171027"/>
</workbook>
</file>

<file path=xl/sharedStrings.xml><?xml version="1.0" encoding="utf-8"?>
<sst xmlns="http://schemas.openxmlformats.org/spreadsheetml/2006/main" count="2825" uniqueCount="1154">
  <si>
    <t>Proyecto interdisciplinar 1.º ESO · Tiendas de Barrio</t>
  </si>
  <si>
    <t>Para qué es</t>
  </si>
  <si>
    <t>Para ir metiendo aquí lo que cada materia aporta al proyecto, con sus criterios, sus fechas y su estado. Es el mismo mural A3 del kit en papel, pero editable entre todos.</t>
  </si>
  <si>
    <t>Cómo se usa</t>
  </si>
  <si>
    <t>Archivo → Abrir con Google Sheets. Compártelo con permiso de edición al equipo. Cada docente rellena su fila en la hoja «Aportaciones» y marca su estado.</t>
  </si>
  <si>
    <t>Hojas</t>
  </si>
  <si>
    <t>Calendario (qué toca cada semana) · Mural (materias × fases) · Aportaciones (el detalle, con desplegables) · Criterios (los 300 criterios de 1.º ESO) · Materias · Panel (recuento automático).</t>
  </si>
  <si>
    <t>Desplegables</t>
  </si>
  <si>
    <t>Las celdas con flecha traen lista: materia, tramo, fase, criterio, instrumento y estado. El texto del criterio aparece solo al elegir su código.</t>
  </si>
  <si>
    <t>Colores e iconos</t>
  </si>
  <si>
    <t>Cada materia tiene el color y el emoji que usa la web y los PDF. Cada criterio lleva el emoji de la acción que desarrolla: el mismo emoji en dos materias significa la misma acción, y ahí hay una conexión.</t>
  </si>
  <si>
    <t>Las fórmulas</t>
  </si>
  <si>
    <t>Se calculan al abrir el archivo en Google Sheets o Excel. Si ves celdas vacías en «Panel» antes de abrirlo del todo, es normal.</t>
  </si>
  <si>
    <t>Fuente del currículo</t>
  </si>
  <si>
    <t>Orden de 30 de mayo de 2023 (BOJA n.º 104), Anexo II; BOE para Religión. No se ha reescrito nada a mano.</t>
  </si>
  <si>
    <t>Dudas</t>
  </si>
  <si>
    <t>Juan María Gámez Ortiz · juan.gamez@iesalandalus.org</t>
  </si>
  <si>
    <t>Leyenda de materias</t>
  </si>
  <si>
    <t>🔢  MAT</t>
  </si>
  <si>
    <t>Matemáticas · Materias comunes · 23 criterios</t>
  </si>
  <si>
    <t>📖  LCL</t>
  </si>
  <si>
    <t>Lengua Castellana y Literatura · Materias comunes · 22 criterios</t>
  </si>
  <si>
    <t>🌐  LEX</t>
  </si>
  <si>
    <t>Inglés · Materias comunes · 16 criterios</t>
  </si>
  <si>
    <t>🗺️  GEH</t>
  </si>
  <si>
    <t>Geografía e Historia · Materias comunes · 30 criterios</t>
  </si>
  <si>
    <t>🔬  BYG</t>
  </si>
  <si>
    <t>Biología y Geología · Materias comunes · 19 criterios</t>
  </si>
  <si>
    <t>🏃  EFI</t>
  </si>
  <si>
    <t>Educación Física · Materias comunes · 17 criterios</t>
  </si>
  <si>
    <t>🎨  EPV</t>
  </si>
  <si>
    <t>Educación Plástica, Visual y Audiovisual · Materias comunes · 22 criterios</t>
  </si>
  <si>
    <t>🎵  MUS</t>
  </si>
  <si>
    <t>Música · Materias comunes · 10 criterios</t>
  </si>
  <si>
    <t>🤖  CYR</t>
  </si>
  <si>
    <t>Computación y Robótica · Optativas · 15 criterios</t>
  </si>
  <si>
    <t>🏛️  CCL</t>
  </si>
  <si>
    <t>Cultura Clásica · Optativas · 26 criterios</t>
  </si>
  <si>
    <t>🎙️  OYD</t>
  </si>
  <si>
    <t>Oratoria y Debate · Optativas · 20 criterios</t>
  </si>
  <si>
    <t>🇫🇷  SLE</t>
  </si>
  <si>
    <t>Francés · Optativas · 16 criterios</t>
  </si>
  <si>
    <t>✍️  MLCT</t>
  </si>
  <si>
    <t>Área Lingüística de Carácter Transversal · Optativas · 22 criterios</t>
  </si>
  <si>
    <t>⛪  RCA</t>
  </si>
  <si>
    <t>Religión Católica · Religión · 12 criterios</t>
  </si>
  <si>
    <t>📕  REV</t>
  </si>
  <si>
    <t>Religión Evangélica · Religión · 16 criterios</t>
  </si>
  <si>
    <t>🌙  RIS</t>
  </si>
  <si>
    <t>Religión Islámica · Religión · 14 criterios</t>
  </si>
  <si>
    <t>Calendario de planificación · entrega los viernes · el aula es en noviembre y diciembre</t>
  </si>
  <si>
    <t>Tramo</t>
  </si>
  <si>
    <t>Qué se pide</t>
  </si>
  <si>
    <t>Desde</t>
  </si>
  <si>
    <t>Hasta</t>
  </si>
  <si>
    <t>Entrega</t>
  </si>
  <si>
    <t>Objetivo</t>
  </si>
  <si>
    <t>Estado</t>
  </si>
  <si>
    <t>Notas del equipo</t>
  </si>
  <si>
    <t>T1</t>
  </si>
  <si>
    <t>Me apunto — Ficha de compromiso de tu materia</t>
  </si>
  <si>
    <t>Saber quién entra, en qué fase del aula y con qué idea. (15 min por docente)</t>
  </si>
  <si>
    <t>Pendiente</t>
  </si>
  <si>
    <t>T2</t>
  </si>
  <si>
    <t>Mi currículo — Ficha curricular de tu materia</t>
  </si>
  <si>
    <t>Anclar tu tarea a criterios de evaluación reales, con su evidencia y su instrumento. (25 min por docente)</t>
  </si>
  <si>
    <t>T3</t>
  </si>
  <si>
    <t>Encajamos — Ficha de acuerdos y fechas</t>
  </si>
  <si>
    <t>Acordar qué recibe y qué entrega cada materia, y en qué fecha. (20 min por docente)</t>
  </si>
  <si>
    <t>T4</t>
  </si>
  <si>
    <t>Mi sesión — Guion de sesión y material</t>
  </si>
  <si>
    <t>Dejar la sesión minutada y el material del alumnado listo para noviembre. (40 min por docente)</t>
  </si>
  <si>
    <t>Cierre</t>
  </si>
  <si>
    <t>Cierre y calendario de aula</t>
  </si>
  <si>
    <t>Reunión de una hora: proyecto completo, calendario de sesiones y acuerdos firmados.</t>
  </si>
  <si>
    <t>En el aula · las seis fases con el alumnado</t>
  </si>
  <si>
    <t>Fase</t>
  </si>
  <si>
    <t>Nombre</t>
  </si>
  <si>
    <t>Sesiones</t>
  </si>
  <si>
    <t/>
  </si>
  <si>
    <t>Qué pasa y qué deja</t>
  </si>
  <si>
    <t>Quién entra</t>
  </si>
  <si>
    <t>🏷️ 1</t>
  </si>
  <si>
    <t>Nuestra tienda</t>
  </si>
  <si>
    <t>2–3</t>
  </si>
  <si>
    <t>Presentar el reto, formar equipos y repartir roles. Elegir tipo de tienda, productos y clientela. Deja: Identidad de la tienda y catálogo.</t>
  </si>
  <si>
    <t>🧾 2</t>
  </si>
  <si>
    <t>Pedidos y cambio</t>
  </si>
  <si>
    <t>4–5</t>
  </si>
  <si>
    <t>Calcular precios, cantidades, importes y cambio con números decimales. Deja: Pedido o factura comprobados.</t>
  </si>
  <si>
    <t>％ 3</t>
  </si>
  <si>
    <t>Ofertas con sentido</t>
  </si>
  <si>
    <t>3–4</t>
  </si>
  <si>
    <t>Descuentos, promociones e impuestos. Comparar ofertas y decidir. Deja: Oferta explicada con sus condiciones.</t>
  </si>
  <si>
    <t>🏪 4</t>
  </si>
  <si>
    <t>Primer mercado</t>
  </si>
  <si>
    <t>1–2</t>
  </si>
  <si>
    <t>Pedido a proveedores con presupuesto limitado y primer mercado simulado. Deja: Registro de ventas.</t>
  </si>
  <si>
    <t>📊 5</t>
  </si>
  <si>
    <t>Los datos nos ayudan</t>
  </si>
  <si>
    <t>Organizar las ventas en tablas y gráficos, e interpretarlas. Deja: Una decisión basada en datos.</t>
  </si>
  <si>
    <t>🎤 6</t>
  </si>
  <si>
    <t>Mejoramos y contamos</t>
  </si>
  <si>
    <t>Segundo mercado con mejoras. Portfolio y presentación final. Deja: Portfolio y presentación de 4–6 min.</t>
  </si>
  <si>
    <t>Mural del equipo · qué aporta cada materia en cada fase</t>
  </si>
  <si>
    <t>El texto gris es la idea propuesta: bórralo y escribe la aportación real cuando la materia la confirme.</t>
  </si>
  <si>
    <t>Materia</t>
  </si>
  <si>
    <t>🏷️ 1 · Nuestra tienda</t>
  </si>
  <si>
    <t>🧾 2 · Pedidos y cambio</t>
  </si>
  <si>
    <t>％ 3 · Ofertas con sentido</t>
  </si>
  <si>
    <t>🏪 4 · Primer mercado</t>
  </si>
  <si>
    <t>📊 5 · Los datos nos ayudan</t>
  </si>
  <si>
    <t>🎤 6 · Mejoramos y contamos</t>
  </si>
  <si>
    <t>🏔️ Otro reto</t>
  </si>
  <si>
    <t>Matemáticas</t>
  </si>
  <si>
    <t>🔢</t>
  </si>
  <si>
    <t>Equipos, roles y portfolio</t>
  </si>
  <si>
    <t>Un pedido sin errores · CE 1 y 2</t>
  </si>
  <si>
    <t>Porcentajes y ofertas</t>
  </si>
  <si>
    <t>Pedido con presupuesto</t>
  </si>
  <si>
    <t>Lo que dicen las ventas · CE 7 y 8</t>
  </si>
  <si>
    <t>Balance y presentación</t>
  </si>
  <si>
    <t>Lengua Castellana</t>
  </si>
  <si>
    <t>📖</t>
  </si>
  <si>
    <t>Cómo se lee una factura · CE 5</t>
  </si>
  <si>
    <t>Contamos lo que hicimos · CE 3</t>
  </si>
  <si>
    <t>Inglés</t>
  </si>
  <si>
    <t>🌐</t>
  </si>
  <si>
    <t>Mini catalogue · CE 2</t>
  </si>
  <si>
    <t>At the shop · CE 3</t>
  </si>
  <si>
    <t>Geografía e Historia</t>
  </si>
  <si>
    <t>🗺️</t>
  </si>
  <si>
    <t>Dónde abrimos la tienda · CE 4 y 1</t>
  </si>
  <si>
    <t>Barrio o gran superficie · CE 2</t>
  </si>
  <si>
    <t>Biología y Geología</t>
  </si>
  <si>
    <t>🔬</t>
  </si>
  <si>
    <t>Envases con cabeza · CE 5</t>
  </si>
  <si>
    <t>¿Cuánto residuo evitamos? · CE 5 y 1</t>
  </si>
  <si>
    <t>Educación Física</t>
  </si>
  <si>
    <t>🏃</t>
  </si>
  <si>
    <t>Tienda de material deportivo · CE 1</t>
  </si>
  <si>
    <t>Un mercado seguro · CE 5</t>
  </si>
  <si>
    <t>Plástica y Audiovisual</t>
  </si>
  <si>
    <t>🎨</t>
  </si>
  <si>
    <t>Un logotipo que se reconoce · CE 7</t>
  </si>
  <si>
    <t>Un cartel en cinco segundos · CE 5 y 8</t>
  </si>
  <si>
    <t>Música</t>
  </si>
  <si>
    <t>🎵</t>
  </si>
  <si>
    <t>Cuña de 15 segundos · CE 4</t>
  </si>
  <si>
    <t>El ambiente del mercado · CE 1</t>
  </si>
  <si>
    <t>Computación y Robótica</t>
  </si>
  <si>
    <t>🤖</t>
  </si>
  <si>
    <t>Caja registradora en bloques · CE 2</t>
  </si>
  <si>
    <t>Del registro al patrón · CE 4</t>
  </si>
  <si>
    <t>Cultura Clásica</t>
  </si>
  <si>
    <t>🏛️</t>
  </si>
  <si>
    <t>Del ágora y el foro al barrio · CE 1</t>
  </si>
  <si>
    <t>Mercurio y la moneda · CE 6 y 4</t>
  </si>
  <si>
    <t>Oratoria y Debate</t>
  </si>
  <si>
    <t>🎙️</t>
  </si>
  <si>
    <t>Vender sin engañar · CE 1 y 3</t>
  </si>
  <si>
    <t>Debate de cierre · CE 5</t>
  </si>
  <si>
    <t>Francés</t>
  </si>
  <si>
    <t>🇫🇷</t>
  </si>
  <si>
    <t>La vitrine · CE 2</t>
  </si>
  <si>
    <t>Au marché · CE 3</t>
  </si>
  <si>
    <t>Área Lingüística</t>
  </si>
  <si>
    <t>✍️</t>
  </si>
  <si>
    <t>Leemos el catálogo · CE 4</t>
  </si>
  <si>
    <t>Una oferta que diga la verdad · CE 5</t>
  </si>
  <si>
    <t>Religión Católica</t>
  </si>
  <si>
    <t>⛪</t>
  </si>
  <si>
    <t>¿Es justa esta oferta? · CE 3</t>
  </si>
  <si>
    <t>Una tienda que cuida · CE 2</t>
  </si>
  <si>
    <t>Religión Evangélica</t>
  </si>
  <si>
    <t>📕</t>
  </si>
  <si>
    <t>Comercio honrado · CE 4</t>
  </si>
  <si>
    <t>Una tienda que cuida · CE 4</t>
  </si>
  <si>
    <t>Religión Islámica</t>
  </si>
  <si>
    <t>🌙</t>
  </si>
  <si>
    <t>Los zocos de Al-Ándalus · CE 3</t>
  </si>
  <si>
    <t>Un barrio de muchas culturas · CE 1</t>
  </si>
  <si>
    <t>Orientación · PT</t>
  </si>
  <si>
    <t>Transversal: anticipar barreras, graduar catálogos y apoyar dentro del aula.</t>
  </si>
  <si>
    <t>Aportaciones · una fila por aportación. Las celdas con flecha tienen desplegable.</t>
  </si>
  <si>
    <t>Fase del aula</t>
  </si>
  <si>
    <t>Tarea del alumnado</t>
  </si>
  <si>
    <t>Criterio 1</t>
  </si>
  <si>
    <t>Texto del criterio 1</t>
  </si>
  <si>
    <t>Criterio 2</t>
  </si>
  <si>
    <t>Texto del criterio 2</t>
  </si>
  <si>
    <t>Saberes</t>
  </si>
  <si>
    <t>Evidencia individual</t>
  </si>
  <si>
    <t>Instrumento</t>
  </si>
  <si>
    <t>Ses.</t>
  </si>
  <si>
    <t>Min.</t>
  </si>
  <si>
    <t>Recibo de</t>
  </si>
  <si>
    <t>Entrego a</t>
  </si>
  <si>
    <t>Fecha de entrega</t>
  </si>
  <si>
    <t>Enlace al material</t>
  </si>
  <si>
    <t>2 · Pedidos y cambio</t>
  </si>
  <si>
    <t>EJEMPLO (bórralo): calcular el pedido de la tienda con 5 €, comprobar el cambio y explicar la revisión a otra pareja.</t>
  </si>
  <si>
    <t>MAT.1.1.3</t>
  </si>
  <si>
    <t>MAT.1.2.2</t>
  </si>
  <si>
    <t>A.2.2 · A.3.4</t>
  </si>
  <si>
    <t>Pedido revisado y registro de comprobación</t>
  </si>
  <si>
    <t>Lista de cotejo</t>
  </si>
  <si>
    <t>Enviada</t>
  </si>
  <si>
    <t>Los 300 criterios de 1.º ESO · fuente: Orden de 30 de mayo de 2023 (BOJA n.º 104) y BOE para Religión</t>
  </si>
  <si>
    <t>Código</t>
  </si>
  <si>
    <t>Nº</t>
  </si>
  <si>
    <t>CE</t>
  </si>
  <si>
    <t>Acción que desarrolla</t>
  </si>
  <si>
    <t>Texto completo del criterio</t>
  </si>
  <si>
    <t>Saberes relacionados</t>
  </si>
  <si>
    <t>MAT.1.1.1</t>
  </si>
  <si>
    <t>1.1</t>
  </si>
  <si>
    <t>Resolver problemas</t>
  </si>
  <si>
    <t>🧩</t>
  </si>
  <si>
    <t>Iniciarse en la interpretación de problemas matemáticos sencillos, reconociendo los datos dados, estableciendo, de manera básica, las relaciones entre ellos y comprendiendo las preguntas formuladas.</t>
  </si>
  <si>
    <t>A.2.1 · A.2.3 · E.1.2</t>
  </si>
  <si>
    <t>MAT.1.1.2</t>
  </si>
  <si>
    <t>1.2</t>
  </si>
  <si>
    <t>Aplicar, en problemas de contextos cercanos de la vida cotidiana, herramientas y estrategias apropiadas, como pueden ser la descomposición en problemas más sencillos, el tanteo, el ensayo y error o la búsqueda de patrones, que contribuyan a la resolución de problemas de su entorno más cercano.</t>
  </si>
  <si>
    <t>A.3.1 · B.1.2</t>
  </si>
  <si>
    <t>1.3</t>
  </si>
  <si>
    <t>Obtener las soluciones matemáticas en problemas de contextos cercanos de la vida cotidiana, activando los conocimientos necesarios, aceptando el error como parte del proceso.</t>
  </si>
  <si>
    <t>A.2.2 · A.3.4 · F.1.3</t>
  </si>
  <si>
    <t>MAT.1.2.1</t>
  </si>
  <si>
    <t>2.1</t>
  </si>
  <si>
    <t>Razonar y comprobar</t>
  </si>
  <si>
    <t>✅</t>
  </si>
  <si>
    <t>Comprobar, de forma razonada la corrección de las soluciones de un problema, usando herramientas digitales como calculadoras, hojas de cálculo o programas específicos.</t>
  </si>
  <si>
    <t>A.3.5</t>
  </si>
  <si>
    <t>2.2</t>
  </si>
  <si>
    <t>Comprobar, mediante la lectura comprensiva, la validez de las soluciones obtenidas en un problema comprobando su coherencia en el contexto planteado y evaluando el alcance y repercusión de estas soluciones desde diferentes perspectivas: igualdad de género, sostenibilidad, consumo responsable, equidad o no discriminación.</t>
  </si>
  <si>
    <t>A.6 · B.2 · F.3.2</t>
  </si>
  <si>
    <t>MAT.1.3.1</t>
  </si>
  <si>
    <t>3.1</t>
  </si>
  <si>
    <t>Formular y comprobar conjeturas sencillas en situaciones del entorno cercano, de forma guiada, trabajando de forma individual o colectiva la utilización del razonamiento inductivo para formular argumentos matemáticos, analizando patrones, propiedades y relaciones.</t>
  </si>
  <si>
    <t>A.3.3 · B.1.1</t>
  </si>
  <si>
    <t>MAT.1.3.2</t>
  </si>
  <si>
    <t>3.2</t>
  </si>
  <si>
    <t>Plantear, en términos matemáticos, variantes de un problema dado, en contextos cercanos de la vida cotidiana, modificando alguno de sus datos o alguna condición del problema, enriqueciendo así los conceptos matemáticos.</t>
  </si>
  <si>
    <t>D.4.2</t>
  </si>
  <si>
    <t>MAT.1.3.3</t>
  </si>
  <si>
    <t>3.3</t>
  </si>
  <si>
    <t>Emplear herramientas tecnológicas adecuadas, calculadoras o software matemáticos como paquetes estadísticos o programas de análisis numérico en la investigación y comprobación de conjeturas o problemas.</t>
  </si>
  <si>
    <t>E.2.2</t>
  </si>
  <si>
    <t>MAT.1.4.1</t>
  </si>
  <si>
    <t>4.1</t>
  </si>
  <si>
    <t>Pensamiento computacional</t>
  </si>
  <si>
    <t>🧠</t>
  </si>
  <si>
    <t>Reconocer patrones en la resolución de problemas sencillos, organizar datos y descomponer un problema en partes más simples, facilitando su interpretación computacional y relacionando los aspectos básicos de la informática con las necesidades del alumnado.</t>
  </si>
  <si>
    <t>A.1.1</t>
  </si>
  <si>
    <t>MAT.1.4.2</t>
  </si>
  <si>
    <t>4.2</t>
  </si>
  <si>
    <t>Modelizar situaciones del entorno cercano y resolver problemas sencillos de forma eficaz, interpretando y modificando algoritmos, creando modelos de situaciones cotidianas.</t>
  </si>
  <si>
    <t>D.1 · D.2</t>
  </si>
  <si>
    <t>MAT.1.5.1</t>
  </si>
  <si>
    <t>5.1</t>
  </si>
  <si>
    <t>Conectar saberes y contextos</t>
  </si>
  <si>
    <t>🔗</t>
  </si>
  <si>
    <t>Reconocer y usar las relaciones entre los conocimientos y experiencias matemáticas de los bloques de saberes formando un todo coherente, reconociendo y utilizando las conexiones entre ideas matemáticas en la resolución de problemas sencillos del entorno cercano.</t>
  </si>
  <si>
    <t>A.3.2</t>
  </si>
  <si>
    <t>MAT.1.5.2</t>
  </si>
  <si>
    <t>5.2</t>
  </si>
  <si>
    <t>Realizar conexiones entre diferentes procesos matemáticos sencillos, aplicando conocimientos y experiencias previas y enlazándolas con las nuevas ideas.</t>
  </si>
  <si>
    <t>A.2.5 · A.4.1</t>
  </si>
  <si>
    <t>MAT.1.6.1</t>
  </si>
  <si>
    <t>6.1</t>
  </si>
  <si>
    <t>Reconocer situaciones en el entorno más cercano susceptibles de ser formuladas y resueltas mediante herramientas y estrategias matemáticas, estableciendo conexiones entre el mundo real y las matemáticas y usando los procesos inherentes a la investigación científica y matemática: inferir, medir, comunicar, clasificar y predecir, aplicando procedimientos sencillos en la resolución de problemas.</t>
  </si>
  <si>
    <t>A.1.2 · A.5.1 · A.5.2 · E.1.1 · E.2.1</t>
  </si>
  <si>
    <t>MAT.1.6.2</t>
  </si>
  <si>
    <t>6.2</t>
  </si>
  <si>
    <t>Analizar conexiones coherentes entre ideas y conceptos matemáticos con otras materias y con la vida real y aplicarlas mediante el uso de procedimientos sencillos en la resolución de problemas en situaciones del entorno cercano.</t>
  </si>
  <si>
    <t>D.4.1</t>
  </si>
  <si>
    <t>MAT.1.6.3</t>
  </si>
  <si>
    <t>6.3</t>
  </si>
  <si>
    <t>Reconocer en diferentes contextos del entorno más cercano, la aportación de las matemáticas al progreso de la humanidad y su contribución a la superación de los retos que demanda la sociedad actual, identificando algunas aportaciones hechas desde nuestra comunidad.</t>
  </si>
  <si>
    <t>E.2.3 · F.3.2 · F.3.3</t>
  </si>
  <si>
    <t>MAT.1.7.1</t>
  </si>
  <si>
    <t>7.1</t>
  </si>
  <si>
    <t>Representar información y datos</t>
  </si>
  <si>
    <t>🔷</t>
  </si>
  <si>
    <t>Representar conceptos, procedimientos, información y resultados matemáticos usando herramientas digitales sencillas, y formas de representación adecuadas para visualizar ideas y estructurar procesos matemáticos, interpretando y resolviendo problemas del entorno cercano y valorando su utilidad para compartir información.</t>
  </si>
  <si>
    <t>A.2.4 · E.1.2 · E.1.3</t>
  </si>
  <si>
    <t>MAT.1.7.2</t>
  </si>
  <si>
    <t>7.2</t>
  </si>
  <si>
    <t>Esbozar representaciones matemáticas utilizando herramientas de interpretación y modelización como expresiones simbólicas o gráficas que ayuden en la búsqueda de estrategias de resolución de una situación problematizada.</t>
  </si>
  <si>
    <t>A.5.3 · E.1.4</t>
  </si>
  <si>
    <t>MAT.1.8.1</t>
  </si>
  <si>
    <t>8.1</t>
  </si>
  <si>
    <t>Expresarse y presentar oralmente</t>
  </si>
  <si>
    <t>🗣️</t>
  </si>
  <si>
    <t>Comunicar ideas, conceptos y procesos sencillos, utilizando el lenguaje matemático apropiado, empleando diferentes medios, incluidos los digitales, oralmente y por escrito, al describir, explicar y justificar sus conocimientos matemáticos.</t>
  </si>
  <si>
    <t>D.3</t>
  </si>
  <si>
    <t>MAT.1.8.2</t>
  </si>
  <si>
    <t>8.2</t>
  </si>
  <si>
    <t>Reconocer y emplear el lenguaje matemático presente en contextos cotidianos de su entorno personal, expresando y comunicando mensajes con contenido matemático y utilizando terminología matemática adecuada con precisión y rigor.</t>
  </si>
  <si>
    <t>A.4.2</t>
  </si>
  <si>
    <t>MAT.1.9.1</t>
  </si>
  <si>
    <t>9.1</t>
  </si>
  <si>
    <t>Emociones y aceptación del error</t>
  </si>
  <si>
    <t>🙂</t>
  </si>
  <si>
    <t>Gestionar las emociones propias y desarrollar el autoconcepto matemático como herramienta, generando expectativas positivas en la adaptación, el tratamiento y la gestión de retos matemáticos y cambios en contextos cotidianos de su entorno personal e iniciándose en el pensamiento crítico y creativo.</t>
  </si>
  <si>
    <t>F.1.1</t>
  </si>
  <si>
    <t>MAT.1.9.2</t>
  </si>
  <si>
    <t>9.2</t>
  </si>
  <si>
    <t>Mostrar una actitud positiva y perseverante, aceptando la crítica razonada, analizando sus limitaciones y buscando ayuda al hacer frente a las diferentes situaciones de aprendizaje de las matemáticas.</t>
  </si>
  <si>
    <t>F.1.2 · F.1.3</t>
  </si>
  <si>
    <t>MAT.1.10.1</t>
  </si>
  <si>
    <t>10.1</t>
  </si>
  <si>
    <t>Cooperar, incluir y convivir</t>
  </si>
  <si>
    <t>🤝</t>
  </si>
  <si>
    <t>Colaborar activamente y construir relaciones saludables en el trabajo de las matemáticas en equipos heterogéneos, respetando diferentes opiniones, iniciándose en el desarrollo de destrezas: de comunicación efectiva, de planificación, de indagación, de motivación y confianza en sus propias posibilidades y de pensamiento crítico y creativo, tomando decisiones y realizando juicios informados.</t>
  </si>
  <si>
    <t>F.2.1 · F.2.2</t>
  </si>
  <si>
    <t>MAT.1.10.2</t>
  </si>
  <si>
    <t>10.2</t>
  </si>
  <si>
    <t>Participar en el reparto de tareas que deban desarrollarse en equipo, aportando valor, asumiendo las normas de convivencia, y aplicándolas de manera constructiva, dialogante e inclusiva, reconociendo los estereotipos e ideas preconcebidas sobre las matemáticas asociadas a cuestiones individuales y responsabilizándose de la propia contribución al equipo.</t>
  </si>
  <si>
    <t>F.2.1 · F.3.1</t>
  </si>
  <si>
    <t>LCL.1.1.2</t>
  </si>
  <si>
    <t>Diversidad lingüística y cultural</t>
  </si>
  <si>
    <t>🌍</t>
  </si>
  <si>
    <t>Identificar prejuicios y estereotipos lingüísticos adoptando una actitud de respeto y valoración de la riqueza cultural, lingüística y dialectal.</t>
  </si>
  <si>
    <t>A.1 · A.5</t>
  </si>
  <si>
    <t>LCL.1.2.1</t>
  </si>
  <si>
    <t>Comprender e interpretar</t>
  </si>
  <si>
    <t>👓</t>
  </si>
  <si>
    <t>Comprender el sentido global, la estructura, la información más relevante en función de las necesidades comunicativas y la intención del emisor en textos orales y multimodales sencillos de diferentes ámbitos, incorporando prácticas discursivas que sean significativas para el alumnado.</t>
  </si>
  <si>
    <t>B.2.2 · B.2.3 · B.3.1 · B.3.2 · B.4.1</t>
  </si>
  <si>
    <t>LCL.1.2.2</t>
  </si>
  <si>
    <t>Valorar de manera progresivamente autónoma la forma y el contenido de textos orales y multimodales sencillos que sean significativos para el alumnado, los riesgos que conllevan la manipulación y desinformación.</t>
  </si>
  <si>
    <t>B.1 · B.3.1 · B.3.2 · B.4.2</t>
  </si>
  <si>
    <t>LCL.1.3.1</t>
  </si>
  <si>
    <t>Realizar narraciones orales sencillas, organizando el contenido ajustándose progresivamente a las convenciones propias del género discursivo, con fluidez, coherencia, cohesión y el registro adecuado, utilizando de manera eficaz recursos verbales y no verbales.</t>
  </si>
  <si>
    <t>B.1 · B.2.1 · B.3.1 · B.4.4</t>
  </si>
  <si>
    <t>LCL.1.3.2</t>
  </si>
  <si>
    <t>Participar de manera activa y adecuada en interacciones orales informales, en el trabajo en equipo y en situaciones orales formales básicas de carácter dialogado, con actitudes de escucha activa y estrategias de cooperación conversacional y cortesía lingüística.</t>
  </si>
  <si>
    <t>B.1 · B.2.3 · B.3.1 · B.4.2</t>
  </si>
  <si>
    <t>LCL.1.4.1</t>
  </si>
  <si>
    <t>Comprender e interpretar el sentido global y la intención del emisor de textos escritos y multimodales sencillos.</t>
  </si>
  <si>
    <t>B.3.2 · B.3.3 · B.4.1 · B.4.3</t>
  </si>
  <si>
    <t>LCL.1.4.2</t>
  </si>
  <si>
    <t>Valorar la forma y el contenido de textos escritos y multimodales sencillos evaluando su calidad, fiabilidad e idoneidad del canal utilizado.</t>
  </si>
  <si>
    <t>B.1 · B.2.1 · B.3.4 · B.3.5 · B.4.3</t>
  </si>
  <si>
    <t>LCL.1.5.1</t>
  </si>
  <si>
    <t>Producir textos</t>
  </si>
  <si>
    <t>✏️</t>
  </si>
  <si>
    <t>Planificar la redacción de textos escritos y multimodales básicos y sencillos, atendiendo a la situación comunicativa, destinatario, propósito y canal. La tomar apuntes, esquemas, mapas conceptuales o resúmenes.</t>
  </si>
  <si>
    <t>B.1 · B.3.1 · B.3.5 · B.4.1 · B.4.3</t>
  </si>
  <si>
    <t>LCL.1.5.2</t>
  </si>
  <si>
    <t>Incorporar progresivamente algunos procedimientos lingüísticos básicos para enriquecer los textos con precisión léxica y corrección ortográfica y gramatical.</t>
  </si>
  <si>
    <t>B.1 · B.3.1 · B.3.4 · B.4.3 · B.4.4</t>
  </si>
  <si>
    <t>LCL.1.6.1</t>
  </si>
  <si>
    <t>Buscar y contrastar información</t>
  </si>
  <si>
    <t>🔎</t>
  </si>
  <si>
    <t>Localizar y seleccionar de manera dirigida información procedente de diferentes fuentes; organizarla e integrarla en esquemas propios y reelaborarla, atendiendo a esquemas dados.</t>
  </si>
  <si>
    <t>B.2.3 · B.3.4 · B.3.5</t>
  </si>
  <si>
    <t>LCL.1.6.2</t>
  </si>
  <si>
    <t>Elaborar trabajos de investigación de manera dirigida sobre temas de interés, personal a partir de la información seleccionada, teniendo en cuenta las características propias de este tipo de textos.</t>
  </si>
  <si>
    <t>B.2.1 · B.3.4 · B.3.5</t>
  </si>
  <si>
    <t>LCL.1.6.3</t>
  </si>
  <si>
    <t>Iniciarse en hábitos de uso seguro de las tecnologías digitales en relación con la búsqueda y la comunicación de la información, comprendiendo la necesidad de formación en el uso y manejo de Internet.</t>
  </si>
  <si>
    <t>LCL.1.7.1</t>
  </si>
  <si>
    <t>Leer literatura</t>
  </si>
  <si>
    <t>🪶</t>
  </si>
  <si>
    <t>Leer textos seleccionados, dejando constancia del propio itinerario lector y de la experiencia de lectura a través de diferentes soportes, de manera que se materialice progresivamente la construcción de un conocimiento y gusto por la lectura.</t>
  </si>
  <si>
    <t>B.3.4 · B.3.5 · C.1.3 · C.1.5 · C.2.4</t>
  </si>
  <si>
    <t>LCL.1.7.2</t>
  </si>
  <si>
    <t>Compartir la experiencia de lectura en algún soporte relacionando el sentido de la obra con la propia experiencia biográfica y con su contexto educativo y social.</t>
  </si>
  <si>
    <t>B.3.4 · B.3.5 · C.1.3 · C.1.4 · C.2.3 · C.2.5</t>
  </si>
  <si>
    <t>LCL.1.8.1</t>
  </si>
  <si>
    <t>Leer y explicar de manera guiada la interpretación de los fragmentos literarios leídos, estableciendo algunas relaciones de sus elementos constitutivos con los principios básicos del género y subgéneros literarios.</t>
  </si>
  <si>
    <t>C.1.1 · C.1.2 · C.2.1 · C.2.2</t>
  </si>
  <si>
    <t>LCL.1.8.2</t>
  </si>
  <si>
    <t>Identificar de manera guiada características literarias y culturales en los textos leídos, en función de temas, tópicos, estructuras, lenguaje y valores éticos y estéticos.</t>
  </si>
  <si>
    <t>B.3.4 · C.1.2 · C.2.4 · C.2.5</t>
  </si>
  <si>
    <t>LCL.1.8.3</t>
  </si>
  <si>
    <t>8.3</t>
  </si>
  <si>
    <t>Crear textos personales o colectivos con intención literaria y conciencia de estilo, a partir de la lectura de obras o fragmentos significativos del patrimonio andaluz, nacional y universal.</t>
  </si>
  <si>
    <t>B.3.4 · B.3.5 · C.1.1 · C.2.5</t>
  </si>
  <si>
    <t>LCL.1.9.1</t>
  </si>
  <si>
    <t>Reflexionar sobre las lenguas</t>
  </si>
  <si>
    <t>🔤</t>
  </si>
  <si>
    <t>Revisar los propios textos de manera guiada, e identificar y subsanar algunos problemas de comprensión lectora utilizando los conocimientos explícitos sobre la lengua y su uso.</t>
  </si>
  <si>
    <t>B.3.5 · D.4 · D.5</t>
  </si>
  <si>
    <t>LCL.1.9.2</t>
  </si>
  <si>
    <t>Explicar de manera guiada la interrelación entre el propósito comunicativo y las elecciones lingüísticas del emisor.</t>
  </si>
  <si>
    <t>C.2.1 · D.1 · D.4</t>
  </si>
  <si>
    <t>LCL.1.9.3</t>
  </si>
  <si>
    <t>9.3</t>
  </si>
  <si>
    <t>Formular generalizaciones de manera guiada sobre aspectos básicos del funcionamiento de la lengua, consultando de manera guiada diccionarios, manuales y gramáticas.</t>
  </si>
  <si>
    <t>D.2 · D.3 · D.5</t>
  </si>
  <si>
    <t>LCL.1.10.1</t>
  </si>
  <si>
    <t>Identificar y evitar los usos discriminatorios de la lengua y los abusos de poder a través de la palabra a partir de la reflexión sobre los elementos lingüísticos, textuales y discursivos utilizados que rigen la comunicación entre las personas.</t>
  </si>
  <si>
    <t>A.5 · B.1 · B.3.1</t>
  </si>
  <si>
    <t>LCL.1.10.2</t>
  </si>
  <si>
    <t>Utilizar estrategias para la resolución dialogada de los conflictos y la búsqueda de consensos en alguno de los ámbitos (personal, educativo o social), tomando conciencia de la importancia de los valores y las normas.</t>
  </si>
  <si>
    <t>B.1 · B.3.1</t>
  </si>
  <si>
    <t>LEX.1.1.1</t>
  </si>
  <si>
    <t>Iniciarse en la Interpretación y análisis del sentido global y de la información específica y explícita de textos orales, escritos y multimodales breves y sencillos sobre temas frecuentes y cotidianos, de relevancia personal y próximos a su experiencia vital y cultural, propios de los ámbitos de las relaciones interpersonales, del aprendizaje, de los medios de comunicación y de la ficción expresados de forma clara y en la lengua estándar a través de diversos soportes analógicos y digitales.</t>
  </si>
  <si>
    <t>A.2 · A.5 · A.7</t>
  </si>
  <si>
    <t>LEX.1.1.2</t>
  </si>
  <si>
    <t>Iniciarse en la interpretación y valoración del contenido y los rasgos discursivos de textos orales, escritos y multimodales breves y sencillos, propios de los ámbitos de las relaciones interpersonales, de los medios de comunicación social y del aprendizaje.</t>
  </si>
  <si>
    <t>A.5 · A.7</t>
  </si>
  <si>
    <t>LEX.1.1.3</t>
  </si>
  <si>
    <t>Iniciarse en el proceso de seleccionar, organizar y aplicar de forma guiada las estrategias y conocimientos más adecuados en situaciones comunicativas cotidianas para comprender el sentido general, la información esencial y los detalles más relevantes de los textos orales, escritos y multimodales; comenzar a interpretar elementos no verbales; e iniciarse en la búsqueda y selección de información mediante la consulta en fuentes fiables.</t>
  </si>
  <si>
    <t>A.2 · A.12</t>
  </si>
  <si>
    <t>LEX.1.2.1</t>
  </si>
  <si>
    <t>Expresar oralmente de manera guiada, textos breves, sencillos, estructurados, comprensibles y adecuados a la situación comunicativa sobre asuntos cotidianos y frecuentes, de relevancia para el alumnado, con el fin de describir, narrar e informar sobre temas concretos, en diferentes soportes analógicos y digitales, utilizando de forma guiada recursos verbales y no verbales, así como estrategias de planificación y control de la producción.</t>
  </si>
  <si>
    <t>A.4 · A.6 · A.7 · A.8</t>
  </si>
  <si>
    <t>LEX.1.2.2</t>
  </si>
  <si>
    <t>Iniciarse en la organización y redacción de textos breves, sencillos y comprensibles con aceptable claridad, coherencia, cohesión y adecuación a la situación comunicativa propuesta, siguiendo pautas establecidas, a través de herramientas analógicas y digitales, sobre asuntos cotidianos y frecuentes de relevancia para el alumnado y próximos a su experiencia, respetando la propiedad intelectual y evitando el plagio.</t>
  </si>
  <si>
    <t>A.4 · A.6 · A.7 · A.9</t>
  </si>
  <si>
    <t>LEX.1.2.3</t>
  </si>
  <si>
    <t>2.3</t>
  </si>
  <si>
    <t>Iniciarse en el proceso de seleccionar, organizar y aplicar de forma guiada conocimientos y estrategias para planificar, producir y revisar textos orales y escritos, comprensibles, coherentes y adecuados a las intenciones comunicativas, las características contextuales y la tipología textual, basándose en el uso guiado de los recursos físicos o digitales más adecuados en función de la tarea y las necesidades de cada momento, teniendo en cuenta las personas a quienes va dirigido el texto.</t>
  </si>
  <si>
    <t>A.2 · A.11</t>
  </si>
  <si>
    <t>LEX.1.3.1</t>
  </si>
  <si>
    <t>Interactuar, mediar y debatir</t>
  </si>
  <si>
    <t>💬</t>
  </si>
  <si>
    <t>Iniciarse en la planificación y participación en situaciones interactivas breves y sencillas sobre temas cotidianos próximos a su experiencia, a través de algunos soportes analógicos y digitales, apoyándose en recursos tales como la repetición, el ritmo pausado o el lenguaje no verbal, mostrando interés y respeto por la cortesía lingüística y la etiqueta digital, así como por las diferentes necesidades e ideas de las y los interlocutores.</t>
  </si>
  <si>
    <t>A.8 · B.1</t>
  </si>
  <si>
    <t>LEX.1.3.2</t>
  </si>
  <si>
    <t>Iniciarse en la selección y uso de algunas estrategias de cooperación adecuadas de forma guiada y en entornos próximos, para iniciar, mantener y terminar la comunicación; tomar y ceder la palabra; y solicitar y formular aclaraciones y explicaciones en situaciones cercanas a su entorno personal y familiar.</t>
  </si>
  <si>
    <t>A.4 · A.10</t>
  </si>
  <si>
    <t>LEX.1.4.1</t>
  </si>
  <si>
    <t>Aprender a inferir y reformular textos para explicar, de manera guiada, conceptos y comunicaciones breves y sencillas en situaciones conocidas en las que atender a la diversidad, mostrando respeto y empatía por las y los interlocutores y por las lenguas empleadas, e interés por aplicar diferentes métodos y estrategias de aprendizaje cooperativas para participar en la solución de problemas de intercomprensión, apoyándose en algunos recursos y soportes analógicos y digitales.</t>
  </si>
  <si>
    <t>A.1 · A.3 · C.1</t>
  </si>
  <si>
    <t>LEX.1.4.2</t>
  </si>
  <si>
    <t>Iniciarse, de forma guiada, en la aplicación de estrategias básicas que ayuden a facilitar la comprensión, reformulación, explicación y producción de información y la comunicación, adecuadas a las intenciones comunicativas, usando recursos y apoyos físicos o digitales en función de las necesidades de cada momento.</t>
  </si>
  <si>
    <t>LEX.1.5.1</t>
  </si>
  <si>
    <t>Iniciarse en la comparación y contraste de las similitudes y diferencias básicas entre distintas lenguas, a partir de repertorios lingüísticos personales simples, reflexionando de manera gradualmente autónoma sobre su funcionamiento.</t>
  </si>
  <si>
    <t>B.4 · B.5</t>
  </si>
  <si>
    <t>LEX.1.5.2</t>
  </si>
  <si>
    <t>Utilizar y diferenciar los conocimientos básicos y estrategias simples de mejora de la capacidad de comunicar y de aprender la lengua extranjera, a partir de situaciones sencillas con apoyo de otros participantes y de herramientas analógicas y digitales básicas para la comprensión, producción y coproducción oral y escrita.</t>
  </si>
  <si>
    <t>B.1 · B.2</t>
  </si>
  <si>
    <t>LEX.1.5.3</t>
  </si>
  <si>
    <t>5.3</t>
  </si>
  <si>
    <t>Identificar y registrar, siguiendo modelos simples, los progresos y dificultades de aprendizaje de la lengua extranjera a nivel oral y escrita, seleccionando de forma guiada las estrategias más eficaces para superar esas dificultades y progresar en su aprendizaje, realizando actividades de autoevaluación y coevaluación básicas, como las propuestas en el Portfolio Europeo de las Lenguas (PEL) o en un diario de aprendizaje con soporte analógico o digital, haciendo esos progresos y dificultades explícitos y compartiéndolos con otros en un contexto similar de aprendizaje colaborativo.</t>
  </si>
  <si>
    <t>A.1 · B.3</t>
  </si>
  <si>
    <t>LEX.1.6.1</t>
  </si>
  <si>
    <t>Actuar de forma empática y respetuosa en situaciones interculturales básicas, construyendo vínculos entre las diferentes lenguas y culturas y rechazando cualquier tipo de discriminación, prejuicio y estereotipo en contextos comunicativos cotidianos y fomentando la convivencia.</t>
  </si>
  <si>
    <t>C.3 · C.4</t>
  </si>
  <si>
    <t>LEX.1.6.2</t>
  </si>
  <si>
    <t>Iniciarse en el conocimiento y la aceptación de la diversidad lingüística, cultural y artística propia de países donde se habla la lengua extranjera, reconociéndola como fuente de enriquecimiento personal y mostrando interés por compartir elementos culturales y lingüísticos básicos propios y ajenos que fomenten la sostenibilidad y la democracia.</t>
  </si>
  <si>
    <t>C.5 · C.6</t>
  </si>
  <si>
    <t>LEX.1.6.3</t>
  </si>
  <si>
    <t>Iniciarse en la aplicación, de forma guiada, de estrategias básicas para comprender, explicar y apreciar la diversidad lingüística, cultural y artística, usando la lengua extranjera como instrumento de intercambio cultural, atendiendo a valores ecosociales y democráticos y respetando los principios de justicia, equidad e igualdad.</t>
  </si>
  <si>
    <t>C.1 · C.2</t>
  </si>
  <si>
    <t>GEH.1.1.1</t>
  </si>
  <si>
    <t>Iniciarse en la elaboración, expresión y presentación de contenidos propios en forma de esquemas, tablas informativas y otros formatos utilizando estrategias sencillas de búsqueda, selección y tratamiento de la información de forma guiada sobre procesos y acontecimientos relevantes del presente y del pasado.</t>
  </si>
  <si>
    <t>GEH.1.1.2</t>
  </si>
  <si>
    <t>Contrastar y argumentar sobre temas y acontecimientos de la Prehistoria, la Edad Antigua, la Edad Media y la Edad Moderna, iniciándose en el uso y análisis de forma crítica de fuentes primarias y secundarias como pruebas históricas.</t>
  </si>
  <si>
    <t>A.5 · B.2</t>
  </si>
  <si>
    <t>GEH.1.2.1</t>
  </si>
  <si>
    <t>Argumentar y valorar críticamente</t>
  </si>
  <si>
    <t>⚖️</t>
  </si>
  <si>
    <t>Identificar, valorar y mostrar interés por los principales problemas que afectan a la sociedad, desde un entorno cercano y adoptando una posición crítica y proactiva hacia los mismos.</t>
  </si>
  <si>
    <t>A.3 · A.7 · C.5 · C.6</t>
  </si>
  <si>
    <t>GEH.1.2.2</t>
  </si>
  <si>
    <t>Iniciarse en la exposición argumentada de forma crítica sobre problemas de actualidad del entorno más próximo a través de conocimientos geográficos e históricos, contrastando y valorando fuentes diversas.</t>
  </si>
  <si>
    <t>C.4 · B.1 · B.2</t>
  </si>
  <si>
    <t>GEH.1.2.3</t>
  </si>
  <si>
    <t>Iniciarse en el uso adecuado de términos, conceptos y acontecimientos relevantes en su entorno relacionados con la geografía, la historia y otras disciplinas de las ciencias sociales, a través de intervenciones orales, textos escritos y otros productos, ofreciendo planteamientos personales.</t>
  </si>
  <si>
    <t>A.6</t>
  </si>
  <si>
    <t>GEH.1.2.4</t>
  </si>
  <si>
    <t>2.4</t>
  </si>
  <si>
    <t>Identificar los elementos que conforman la propia identidad en el contexto del mundo actual, de sus retos y conflictos aportando juicios propios, críticos y argumentados desde el respeto a las opiniones de los demás.</t>
  </si>
  <si>
    <t>C.4 · C.9</t>
  </si>
  <si>
    <t>GEH.1.3.1</t>
  </si>
  <si>
    <t>Sociedades en el tiempo</t>
  </si>
  <si>
    <t>⏳</t>
  </si>
  <si>
    <t>Conocer acontecimientos relevantes del mundo actual y de la historia, a través de la investigación y del trabajo por proyectos, de retos o problemas, iniciándose en la aplicación de procesos inductivos, mediante la elaboración de productos sencillos que reflejen la comprensión de los fenómenos y problemas abordados.</t>
  </si>
  <si>
    <t>GEH.1.3.2</t>
  </si>
  <si>
    <t>Identificar de una manera general los principales problemas, a los que se ha enfrentado la humanidad a lo largo de la historia, los cambios producidos, señalando sus causas y consecuencias, así como los problemas que, en la actualidad, debemos plantear en torno a los Objetivos de Desarrollo Sostenible.</t>
  </si>
  <si>
    <t>A.6 · A.7 · B.1</t>
  </si>
  <si>
    <t>GEH.1.3.3</t>
  </si>
  <si>
    <t>Representar información básica sobre acontecimientos geográficos e históricos utilizando mapas, representaciones gráficas sencillas y visuales, tanto en soporte físico como digital.</t>
  </si>
  <si>
    <t>A.1</t>
  </si>
  <si>
    <t>GEH.1.3.4</t>
  </si>
  <si>
    <t>3.4</t>
  </si>
  <si>
    <t>Utilizar una secuencia cronológica sencilla con objeto de identificar la relación entre hechos y procesos en diferentes períodos y lugares históricos (simultaneidad y duración), utilizando términos y conceptos apropiados básicos.</t>
  </si>
  <si>
    <t>A.1 · A.6 · B.3</t>
  </si>
  <si>
    <t>GEH.1.3.5</t>
  </si>
  <si>
    <t>3.5</t>
  </si>
  <si>
    <t>Analizar de manera guiada procesos de cambio histórico de relevancia a través del uso de diferentes fuentes de información, señalando los principales elementos de continuidad y permanencia en diferentes periodos y lugares.</t>
  </si>
  <si>
    <t>B.1 · B.2 · C.10</t>
  </si>
  <si>
    <t>GEH.1.4.1</t>
  </si>
  <si>
    <t>Paisaje y territorio</t>
  </si>
  <si>
    <t>⛰️</t>
  </si>
  <si>
    <t>Describir el entorno desde una perspectiva sistémica e integradora, a través del concepto de paisaje, identificando sus principales elementos.</t>
  </si>
  <si>
    <t>A.2 · A.4 · B.10</t>
  </si>
  <si>
    <t>GEH.1.4.2</t>
  </si>
  <si>
    <t>Conocer el grado de sostenibilidad y de equilibrio de los diferentes espacios y desde distintas escalas y entender su transformación y degradación a través del tiempo por la acción humana en la explotación de los recursos, su relación con la evolución de la población y las estrategias desarrolladas para su control y dominio y los conflictos que ha provocado.</t>
  </si>
  <si>
    <t>A.1 · A.4 · B.6 · B.7</t>
  </si>
  <si>
    <t>GEH.1.4.3</t>
  </si>
  <si>
    <t>4.3</t>
  </si>
  <si>
    <t>Investigar, con cierto grado de autonomía, acerca de la necesidad de acciones de defensa, protección, conservación y mejora del entorno (natural, rural y urbano) a través de propuestas e iniciativas que reflejen compromisos y conductas en favor de la sostenibilidad y del reparto justo y solidario de los recursos.</t>
  </si>
  <si>
    <t>A.4 · C.4 · C.7</t>
  </si>
  <si>
    <t>GEH.1.5.1</t>
  </si>
  <si>
    <t>Identificar e interpretar los mecanismos que han regulado la convivencia y la vida en común a lo largo de la historia, desde el origen de la sociedad a las distintas civilizaciones que se han ido sucediendo, señalando los principales modelos de organización social, política, económica y religiosa que se han ido gestando.</t>
  </si>
  <si>
    <t>B.4 · B.5 · B.6 · B.8 · B.9 · B.11 · C.6</t>
  </si>
  <si>
    <t>GEH.1.5.2</t>
  </si>
  <si>
    <t>Señalar aquellas experiencias históricas más destacables, y anteriores a la época contemporánea, en las que se logró establecer sistemas políticos que favorecieron el ejercicio de derechos y libertades de los individuos y de la colectividad, considerándolas como antecedentes de las posteriores conquistas democráticas y referentes históricos de las libertades actuales.</t>
  </si>
  <si>
    <t>C.1 · C.6 · B.8 · B.15</t>
  </si>
  <si>
    <t>GEH.1.5.3</t>
  </si>
  <si>
    <t>Mostrar actitudes pacíficas y respetuosas y asumir las normas como marco necesario para la convivencia, entendiendo qué significa tener capacidad crítica e identificando y respondiendo de manera asertiva ante las situaciones de injusticia y desigualdad.</t>
  </si>
  <si>
    <t>C.2 · C.3 · C.9</t>
  </si>
  <si>
    <t>GEH.1.6.1</t>
  </si>
  <si>
    <t>Situar el nacimiento y desarrollo de distintas civilizaciones y ubicarlas en el espacio y en el tiempo, integrando los elementos históricos, culturales, institucionales y religiosos que las han conformado, reconociendo la realidad multicultural generada a lo largo del tiempo e identificando sus aportaciones más relevantes a la cultura universal.</t>
  </si>
  <si>
    <t>A.1 · B.3 · B.5 · B.8 · B.11 · B.13 · C.8</t>
  </si>
  <si>
    <t>GEH.1.6.2</t>
  </si>
  <si>
    <t>Reconocer las desigualdades sociales existentes en épocas pasadas y los mecanismos de dominación y control que se han aplicado, reconociendo aquellos grupos que se han visto sometidos y silenciados, identificando la presencia de mujeres y de personajes pertenecientes a otros colectivos discriminados.</t>
  </si>
  <si>
    <t>B.5 · B.9 · B.12</t>
  </si>
  <si>
    <t>GEH.1.6.3</t>
  </si>
  <si>
    <t>Mostrar actitudes no discriminatorias y valorar la diversidad social y multicultural, argumentando en favor de la inclusión, el reconocimiento de las minorías étnico-culturales, la colaboración y la cohesión social.</t>
  </si>
  <si>
    <t>C.2</t>
  </si>
  <si>
    <t>GEH.1.6.4</t>
  </si>
  <si>
    <t>6.4</t>
  </si>
  <si>
    <t>Investigar acerca de la igualdad real de hombres y mujeres actuando en contra de cualquier actitud y comportamiento discriminatorio por razón de género.</t>
  </si>
  <si>
    <t>A.5 · C.3</t>
  </si>
  <si>
    <t>GEH.1.7.1</t>
  </si>
  <si>
    <t>Identidad y dignidad</t>
  </si>
  <si>
    <t>🪪</t>
  </si>
  <si>
    <t>Identificar las culturas y civilizaciones que se han desarrollado a lo largo de la historia antigua y relacionarlas con las diversas identidades colectivas que se han ido construyendo hasta la actualidad, reflexionando de forma guiada sobre sus aportaciones a la cultura humana universal, española y andaluza.</t>
  </si>
  <si>
    <t>B.5 · B.13 · B.14 · B.15 · C.8</t>
  </si>
  <si>
    <t>GEH.1.7.2</t>
  </si>
  <si>
    <t>Identificar el origen histórico de distintas identidades colectivas que se han desarrollado en España, iniciándose en la interpretación del uso que se ha hecho de las mismas y mostrando una actitud de respeto y tolerancia hacia los diferentes sentidos de pertenencia, promoviendo la solidaridad y la cohesión social.</t>
  </si>
  <si>
    <t>B.14 · B.15 · C.2</t>
  </si>
  <si>
    <t>GEH.1.7.3</t>
  </si>
  <si>
    <t>7.3</t>
  </si>
  <si>
    <t>Identificar los fundamentos de la idea de Europa a través de las diferentes experiencias históricas del pasado el legado histórico, artístico y cultural como patrimonio común de la ciudadanía europea.</t>
  </si>
  <si>
    <t>B.15</t>
  </si>
  <si>
    <t>GEH.1.7.4</t>
  </si>
  <si>
    <t>7.4</t>
  </si>
  <si>
    <t>Iniciarse en la valoración, protección y conservación del patrimonio artístico, histórico y cultural como fundamento de la identidad colectiva local, autonómica, nacional, europea y universal, considerándolo como un bien para el disfrute recreativo y cultural y un recurso para el desarrollo de los pueblos.</t>
  </si>
  <si>
    <t>C.8 · B.15</t>
  </si>
  <si>
    <t>GEH.1.8.1</t>
  </si>
  <si>
    <t>Identificar de una manera general los comportamientos demográficos de la población y los cambios que esta ha experimentado a lo largo de la historia.</t>
  </si>
  <si>
    <t>B.9</t>
  </si>
  <si>
    <t>GEH.1.8.2</t>
  </si>
  <si>
    <t>Identificar los elementos que constituyen el ciclo vital y analizar a un nivel básico cómo han cambiado sus características, necesidades y obligaciones en distintos momentos históricos, así como las raíces de la distribución por motivos de género del trabajo doméstico, asumiendo las responsabilidades y compromisos propios de la edad en el ámbito familiar, en el entorno escolar y en la comunidad y valorando la riqueza que aportan las relaciones intergeneracionales..</t>
  </si>
  <si>
    <t>C.3 · C.10</t>
  </si>
  <si>
    <t>GEH.1.8.3</t>
  </si>
  <si>
    <t>Identificar los cambios en los hábitos de vida actuales respecto a los tradicionales y contrastarlos con los que son saludables y sostenibles en su entorno, a través de comportamientos respetuosos con la salud propia, con la de los demás y con otros seres vivos, tomando conciencia de la importancia de promover el propio desarrollo personal.</t>
  </si>
  <si>
    <t>C.7 · C.10</t>
  </si>
  <si>
    <t>GEH.1.9.1</t>
  </si>
  <si>
    <t>Seguridad</t>
  </si>
  <si>
    <t>🛡️</t>
  </si>
  <si>
    <t>Identificar e interpretar de forma guiada la conexión de España y Andalucía con los grandes procesos históricos (de la época antigua, valorando lo que han supuesto para su evolución y señalando las aportaciones de sus habitantes a lo largo de la historia.</t>
  </si>
  <si>
    <t>B.14 · C.8</t>
  </si>
  <si>
    <t>GEH.1.9.2</t>
  </si>
  <si>
    <t>Interpretar de forma guiada desde la perspectiva del desarrollo sostenible y la ciudadanía global los principales desafíos del mundo actual, y ser conscientes de la importancia de implicarse en la búsqueda de soluciones en su entorno más cercano y en el modo de concretarlos desde su capacidad de acción, valorando además la contribución de programas y misiones dirigidos por los Estados, los organismos internacionales y las asociaciones civiles para el logro de la paz, la seguridad y la cooperación entre los pueblos.</t>
  </si>
  <si>
    <t>A.3 · A.4 · A.7 · C.4 · C.6</t>
  </si>
  <si>
    <t>BYG.1.1.1</t>
  </si>
  <si>
    <t>Analizar y describir conceptos y procesos biológicos y geológicos básicos relacionados con los saberes de la materia de Biología y Geología, interpretando, localizando y seleccionando información en diferentes formatos (modelos, gráficos, tablas, diagramas, fórmulas, esquemas, símbolos, páginas web, etc.), manteniendo una actitud crítica y obteniendo conclusiones fundamentadas, explicando en una o más lenguas las principales teorías vinculadas con la materia y su relación con la mejora de la vida de las personas, iniciando una actitud crítica sobre la potencialidad de su propia participación en la toma de decisiones y expresando e interpretando conclusiones.</t>
  </si>
  <si>
    <t>B.1 · B.5 · C.1 · D.1 · D.6</t>
  </si>
  <si>
    <t>BYG.1.1.2</t>
  </si>
  <si>
    <t>Facilitar la comprensión y análisis de la información sobre procesos biológicos y geológicos o trabajos científicos de manera que se facilite su comprensión, transmitiéndola, utilizando la terminología básica y seleccionando los formatos adecuados (modelos, gráficos, tablas, vídeos, informes, diagramas, fórmulas, esquemas, símbolos, contenidos digitales) para su transmisión mediante ejemplos y generalizaciones.</t>
  </si>
  <si>
    <t>B.4</t>
  </si>
  <si>
    <t>BYG.1.1.3</t>
  </si>
  <si>
    <t>Analizar y explicar fenómenos biológicos y geológicos a través de ejemplificaciones, representándolos mediante modelos y diagramas sencillos, y reconociendo e iniciando, cuando sea necesario, el uso de los pasos del diseño de ingeniería (identificación del problema, exploración, diseño, creación, evaluación y mejora).</t>
  </si>
  <si>
    <t>B.2 · B.3 · C.2</t>
  </si>
  <si>
    <t>BYG.1.2.1</t>
  </si>
  <si>
    <t>Resolver, explicar, identificar e interpretar cuestiones básicas sobre la Biología y Geología, localizando, seleccionando y organizando información mediante el uso de distintas fuentes y citándolas correctamente.</t>
  </si>
  <si>
    <t>B.6 · D.2 · D.3</t>
  </si>
  <si>
    <t>BYG.1.2.2</t>
  </si>
  <si>
    <t>Localizar e identificar la información sobre temas biológicos y geológicos con base científica, a través de distintos medios, comparando aquellas fuentes que tengan criterios de validez, calidad, actualidad y fiabilidad, distinguiéndola de las pseudociencias, bulos, teorías conspiratorias y creencias infundadas, y elegir los elementos clave en su interpretación que le permitan mantener una actitud escéptica ante estos.</t>
  </si>
  <si>
    <t>B.7 · E.5</t>
  </si>
  <si>
    <t>BYG.1.2.3</t>
  </si>
  <si>
    <t>Iniciarse en la valoración de la contribución de la ciencia a la sociedad y la labor de las personas dedicadas a ella con independencia de su etnia, sexo o cultura, destacando y reconociendo el papel de las mujeres científicas, fomentando vocaciones científicas desde una perspectiva de género, y entendiendo la investigación como una labor colectiva e interdisciplinar en constante evolución.</t>
  </si>
  <si>
    <t>A.8 · C.2</t>
  </si>
  <si>
    <t>BYG.1.3.1</t>
  </si>
  <si>
    <t>Investigar</t>
  </si>
  <si>
    <t>🧪</t>
  </si>
  <si>
    <t>Analizar y plantear preguntas e hipótesis e intentar realizar predicciones sobre fenómenos biológicos o geológicos que puedan ser respondidas o contrastadas, utilizando métodos científicos, intentando explicar fenómenos biológicos y geológicos sencillos, y realizar predicciones sobre estos.</t>
  </si>
  <si>
    <t>A.1 · A.2 · A.3</t>
  </si>
  <si>
    <t>BYG.1.3.2</t>
  </si>
  <si>
    <t>Diseñar la experimentación, la toma de datos y el análisis de fenómenos biológicos y geológicos de modo que permitan responder a preguntas concretas sencillas y contrastar una hipótesis planteada.</t>
  </si>
  <si>
    <t>A.4 · D.5</t>
  </si>
  <si>
    <t>BYG.1.3.3</t>
  </si>
  <si>
    <t>Realizar experimentos sencillos y tomar datos cuantitativos o cualitativos sobre fenómenos biológicos y geológicos utilizando los instrumentos, herramientas o técnicas adecuadas con corrección.</t>
  </si>
  <si>
    <t>A.4 · A.5 · A.6 · C.3</t>
  </si>
  <si>
    <t>BYG.1.3.4</t>
  </si>
  <si>
    <t>Interpretar los resultados obtenidos en un proyecto de investigación utilizando, cuando sea necesario, herramientas matemáticas y tecnológicas.</t>
  </si>
  <si>
    <t>A.7 · A.8 · A.9</t>
  </si>
  <si>
    <t>BYG.1.3.5</t>
  </si>
  <si>
    <t>Cooperar dentro de un proyecto científico sencillo asumiendo responsablemente una función concreta, utilizando espacios virtuales cuando sea necesario, respetando la diversidad y la igualdad de género, y favoreciendo la inclusión.</t>
  </si>
  <si>
    <t>A.9 · D.1</t>
  </si>
  <si>
    <t>BYG.1.4.1</t>
  </si>
  <si>
    <t>Analizar y resolver problemas o dar explicación a procesos biológicos o geológicos sencillos, utilizando conocimientos, datos e información aportados por el docente, el razonamiento lógico, el pensamiento computacional o recursos digitales.</t>
  </si>
  <si>
    <t>B.2 · D.3 · D.1</t>
  </si>
  <si>
    <t>BYG.1.4.2</t>
  </si>
  <si>
    <t>Analizar críticamente la solución a un problema sencillo sobre fenómenos biológicos y geológicos.</t>
  </si>
  <si>
    <t>B.4 · D.2</t>
  </si>
  <si>
    <t>BYG.1.5.1</t>
  </si>
  <si>
    <t>Sostenibilidad y medioambiente</t>
  </si>
  <si>
    <t>🌱</t>
  </si>
  <si>
    <t>Iniciarse en la relación basada en fundamentos científicos de la preservación de la biodiversidad , la conservación del medioambiente, la protección de los seres vivos del entorno, el desarrollo sostenible y la calidad de vida, reconociendo la riqueza de la biodiversidad en Andalucía.</t>
  </si>
  <si>
    <t>B.3 · B.4 · D.4 · E.1 · E.2 · E.3</t>
  </si>
  <si>
    <t>BYG.1.5.2</t>
  </si>
  <si>
    <t>Proponer y adoptar hábitos sostenibles básicos, analizando de una manera crítica las actividades propias y ajenas, a partir de los propios razonamientos, de los conocimientos adquiridos y de la información disponible.</t>
  </si>
  <si>
    <t>B.3 · B.4 · D.4 · E.6 · E.7 · E.8</t>
  </si>
  <si>
    <t>BYG.1.5.3</t>
  </si>
  <si>
    <t>Proponer y adoptar los hábitos saludables más relevantes, analizando los acciones propias y ajenas con actitud crítica y a partir de fundamentos fisiológicos.</t>
  </si>
  <si>
    <t>D.5</t>
  </si>
  <si>
    <t>BYG.1.6.1</t>
  </si>
  <si>
    <t>Valorar la importancia del paisaje como patrimonio natural, analizando la fragilidad de los elementos que lo componen.</t>
  </si>
  <si>
    <t>B.6 · D.2</t>
  </si>
  <si>
    <t>BYG.1.6.2</t>
  </si>
  <si>
    <t>Interpretar básicamente el paisaje analizando sus elementos y reflexionando sobre el impacto ambiental y los riesgos naturales derivados de determinadas acciones humanas.</t>
  </si>
  <si>
    <t>B.5 · D.3 · E.4</t>
  </si>
  <si>
    <t>BYG.1.6.3</t>
  </si>
  <si>
    <t>Reflexionar de forma elemental sobre los riesgos naturales mediante el análisis de los elementos de un paisaje.</t>
  </si>
  <si>
    <t>B.7 · B.8</t>
  </si>
  <si>
    <t>EFI.1.1.1</t>
  </si>
  <si>
    <t>Salud y vida activa</t>
  </si>
  <si>
    <t>💓</t>
  </si>
  <si>
    <t>Identificar y establecer secuencias sencillas de actividad física, orientada al concepto integral de salud y al estilo de vida activo, a partir de una valoración del nivel inicial, aplicando con progresiva autonomía instrumentos de autoevaluación para ello, respetando y aceptando la propia realidad e identidad corporal.</t>
  </si>
  <si>
    <t>A.1.1 · A.1.2 · B.4</t>
  </si>
  <si>
    <t>EFI.1.1.2</t>
  </si>
  <si>
    <t>Comenzar a incorporar procesos de activación corporal, dosificación del esfuerzo, alimentación saludable, educación postural, respiración, relajación, seguridad e higiene durante la práctica de actividades motrices, interiorizando las rutinas propias de una práctica motriz saludable y responsable.</t>
  </si>
  <si>
    <t>A.1.2 · A.1.3 · A.1.4 · A.1.5 · B.2</t>
  </si>
  <si>
    <t>EFI.1.1.3</t>
  </si>
  <si>
    <t>Identificar y adoptar de manera responsable medidas generales para la prevención de lesiones antes, durante y después de la práctica de actividad física, aprendiendo a reconocer posibles situaciones de riesgo.</t>
  </si>
  <si>
    <t>A.1.6 · B.7.1 · B.7.2</t>
  </si>
  <si>
    <t>EFI.1.1.4</t>
  </si>
  <si>
    <t>1.4</t>
  </si>
  <si>
    <t>Identificar los protocolos de intervención y medidas básicas de primeros auxilios que es necesario aplicar ante situaciones relacionadas con accidentes derivados de la práctica de actividad física.</t>
  </si>
  <si>
    <t>B.7.3 · B.7.4</t>
  </si>
  <si>
    <t>EFI.1.1.5</t>
  </si>
  <si>
    <t>1.5</t>
  </si>
  <si>
    <t>Identificar y analizar la incidencia que ciertas prácticas y comportamientos tienen en nuestra salud y en la convivencia, evitando su reproducción en su entorno escolar y en las actividades de su vida cotidiana, haciendo uso para ello de herramientas informáticas.</t>
  </si>
  <si>
    <t>A.2.1 · A.2.2 · A.3.2 · B.4</t>
  </si>
  <si>
    <t>EFI.1.1.6</t>
  </si>
  <si>
    <t>1.6</t>
  </si>
  <si>
    <t>Identificar diferentes recursos y aplicaciones digitales reconociendo su potencial, así como sus riesgos para su uso en el ámbito de la actividad física y el deporte.</t>
  </si>
  <si>
    <t>B.4 · B.5 · B.6</t>
  </si>
  <si>
    <t>EFI.1.2.1</t>
  </si>
  <si>
    <t>Cuerpo y movimiento</t>
  </si>
  <si>
    <t>🤸</t>
  </si>
  <si>
    <t>Participar en el proceso de creación de proyectos motores de carácter individual, cooperativo o colaborativo, estableciendo mecanismos para reconducir los procesos de trabajo, utilizando con ayuda estrategias de autoevaluación y coevaluación e iniciando actitudes de superación, crecimiento y resiliencia.</t>
  </si>
  <si>
    <t>A.3.1 · B.3 · C.1 · C.2 · C.4 · C.6 · C.7 · D.1</t>
  </si>
  <si>
    <t>EFI.1.2.2</t>
  </si>
  <si>
    <t>Actuar correctamente con una interpretación aceptable en contextos motrices variados, aplicando con ayuda principios básicos de la toma de decisiones en situaciones lúdicas, juegos modificados y actividades deportivas a partir de la anticipación, adecuándose a las demandas motrices, a la actuación del compañero o compañera y de la persona oponente (si la hubiera) y a la lógica interna en contextos de actuación facilitados, reales o simulados, reflexionando sobre los resultados obtenidos.</t>
  </si>
  <si>
    <t>C.1 · C.4 · C.5 · C.7 · C.8 · D.2.1 · D.2.2</t>
  </si>
  <si>
    <t>EFI.1.2.3</t>
  </si>
  <si>
    <t>Iniciarse en la muestra de evidencias de control y dominio corporal al emplear los componentes cualitativos y cuantitativos de la motricidad, haciendo frente a las demandas de resolución de problemas de forma guiada en situaciones motrices transferibles a su espacio vivencial.</t>
  </si>
  <si>
    <t>C.1 · C.2 · C.3 · C.4 · C.7</t>
  </si>
  <si>
    <t>EFI.1.3.1</t>
  </si>
  <si>
    <t>Practicar una gran variedad de actividades motrices, valorando las implicaciones éticas de las actitudes antideportivas, y gestionando positivamente la competitividad en contextos diversos.</t>
  </si>
  <si>
    <t>A.3.2 · B.1 · D.1 · D.2.2 · D.2.3 · D.2.4</t>
  </si>
  <si>
    <t>EFI.1.3.2</t>
  </si>
  <si>
    <t>Colaborar en la práctica de diferentes producciones motrices, especialmente a través de juegos, para alcanzar el logro individual y grupal, participando en la toma de decisiones y asumiendo distintos roles asignados y responsabilidades.</t>
  </si>
  <si>
    <t>D.1.2 · D.2.1 · D.2.2</t>
  </si>
  <si>
    <t>EFI.1.3.3</t>
  </si>
  <si>
    <t>Hacer uso con progresiva autonomía de habilidades sociales, diálogo en la resolución de conflictos y respeto ante la diversidad, ya sea de género, afectivosexual, de origen nacional, étnico, socio-económica o de competencia motriz, mostrando una actitud crítica y un compromiso activo frente a los estereotipos, las actuaciones discriminatorias y de cualquier tipo de violencia, haciendo respetar el propio cuerpo y el de los demás.</t>
  </si>
  <si>
    <t>A.2.2 · D.1.4 · D.2.1 · D.2.3 · D.2.4</t>
  </si>
  <si>
    <t>EFI.1.4.1</t>
  </si>
  <si>
    <t>Gestionar la participación en juegos propios de Andalucía, favoreciendo su conservación y valorando sus orígenes, evolución e influencia en las sociedades contemporáneas.</t>
  </si>
  <si>
    <t>E.1 · E.2</t>
  </si>
  <si>
    <t>EFI.1.4.2</t>
  </si>
  <si>
    <t>Reconocer las diferentes actividades y modalidades deportivas según sus características y requerimientos, evitando los posibles estereotipos de género o capacidad o los comportamientos sexistas vinculados a dichas manifestaciones.</t>
  </si>
  <si>
    <t>D.2.4 · E.3</t>
  </si>
  <si>
    <t>EFI.1.4.3</t>
  </si>
  <si>
    <t>Utilizar intencionadamente y con progresiva autonomía el cuerpo como herramienta de expresión y comunicación a través de diversas técnicas expresivas, participando activamente en la creación y representación de composiciones individuales o colectivas con y sin base musical, prestando especial atención a la educación socio-afectiva y fomento de la creatividad.</t>
  </si>
  <si>
    <t>C.2 · C.5 · D.2.1</t>
  </si>
  <si>
    <t>EFI.1.5.1</t>
  </si>
  <si>
    <t>Participar en actividades físico-deportivas sencillas en entornos naturales de Andalucía, terrestres o acuáticos, disfrutando del entorno de manera sostenible, minimizando de forma guiada el impacto ambiental que estas puedan producir e iniciando una conciencia sobre su huella ecológica.</t>
  </si>
  <si>
    <t>F.2 · F.3 · F.4</t>
  </si>
  <si>
    <t>EFI.1.5.2</t>
  </si>
  <si>
    <t>Practicar actividades físico-deportivas en el medio natural y urbano, siguiendo las normas de seguridad individuales y colectivas marcadas.</t>
  </si>
  <si>
    <t>F.1 · F.2 · F.3 · F.4</t>
  </si>
  <si>
    <t>EPV.1.1.1</t>
  </si>
  <si>
    <t>Patrimonio y cultura</t>
  </si>
  <si>
    <t>🏰</t>
  </si>
  <si>
    <t>Se introduce en el reconocimiento de los factores históricos y sociales que rodean a diferentes producciones plásticas, visuales y audiovisuales, describiendo de manera simple, de forma oral, escrita o visual diferentes corrientes artísticas, con interés y respeto, incorporando además la perspectiva de género.</t>
  </si>
  <si>
    <t>A.1 · A.2</t>
  </si>
  <si>
    <t>EPV.1.1.2</t>
  </si>
  <si>
    <t>Muestra interés por la conservación, preservación y difusión del patrimonio cultural y artístico, a través de iniciarse en el conocimiento y el análisis guiado de obras de arte comenzando por el que le es más cercano, utilizándolo en sus propias creaciones, en las que manifieste aspectos de su propia identidad cultural.</t>
  </si>
  <si>
    <t>A.2</t>
  </si>
  <si>
    <t>EPV.1.1.3</t>
  </si>
  <si>
    <t>Se inicia en el análisis de la importancia de las formas geométricas básicas de su entorno, identificando los elementos plásticos del lenguaje visual en el arte y en el entorno, tomando como modelo el legado andalusí y el mosaico romano.</t>
  </si>
  <si>
    <t>EPV.1.2.1</t>
  </si>
  <si>
    <t>Conoce y emplea el proceso creativo desde la intención hasta la realización, comprendiendo las dificultades del mismo mediante el intercambio de experiencias y el diálogo, detectando prejuicios hacia otras expresiones culturales y reflexionando sobre la discriminación y rechazo que estos provocan.</t>
  </si>
  <si>
    <t>EPV.1.2.2</t>
  </si>
  <si>
    <t>Se inicia en el análisis, de forma guiada, de diversas producciones artísticas, incluidas las propias y las de sus iguales, respetando las creaciones, vengan estas de donde vengan, comenzando a establecer un juicio basado en el conocimiento.</t>
  </si>
  <si>
    <t>B.1 · B.2 · B.3 · B.4 · B.5</t>
  </si>
  <si>
    <t>EPV.1.2.3</t>
  </si>
  <si>
    <t>Analiza, valora y realiza composiciones inspiradas en la naturaleza introduciendo aspectos básicos compositivos y experimentando al menos con dos técnicas de expresión gráfico-plásticas bidimensionales.</t>
  </si>
  <si>
    <t>B.1 · B.5 · C.1</t>
  </si>
  <si>
    <t>EPV.1.3.1</t>
  </si>
  <si>
    <t>Analizar obras y producciones</t>
  </si>
  <si>
    <t>🖼️</t>
  </si>
  <si>
    <t>Iniciar un acercamiento a la observación y análisis de forma respetuosa en relación con las diversas propuestas plásticas, visuales y audiovisuales como forma de configuración de la cultura artística personal.</t>
  </si>
  <si>
    <t>D.1</t>
  </si>
  <si>
    <t>EPV.1.3.2</t>
  </si>
  <si>
    <t>Empezar a concebir el campo de las artes plásticas, visuales y audiovisuales como un elemento cultural indispensable en la sociedad contemporánea mediante el conocimiento de las obras pasadas y también contemporáneas.</t>
  </si>
  <si>
    <t>A.1 · A.2 · D.1</t>
  </si>
  <si>
    <t>EPV.1.3.3</t>
  </si>
  <si>
    <t>Se inicia en la identificación de la importancia de la presentación de las creaciones propias a partir de técnicas audiovisuales básicas, compartiendo estas producciones con el resto del alumnado.</t>
  </si>
  <si>
    <t>B.3 · B.4</t>
  </si>
  <si>
    <t>EPV.1.4.1</t>
  </si>
  <si>
    <t>Iniciar la exploración y el reconocimiento de las características propias de los diversos lenguajes y medios de expresión artística en relación con los contextos culturales, sociales y artísticos en los que han sido producidos como forma de investigación dentro del ámbito creativo.</t>
  </si>
  <si>
    <t>C.1 · C.2 · D.1</t>
  </si>
  <si>
    <t>EPV.1.4.2</t>
  </si>
  <si>
    <t>Comenzar a aplicar en las producciones plásticas, visuales y audiovisuales propias las conclusiones extraídas mediante el reconocimiento y comprensión de las respuestas que otros creadores y creadoras han efectuado ante preguntas similares.</t>
  </si>
  <si>
    <t>C.2 · D.2</t>
  </si>
  <si>
    <t>EPV.1.5.1</t>
  </si>
  <si>
    <t>Crear producciones</t>
  </si>
  <si>
    <t>🖌️</t>
  </si>
  <si>
    <t>Iniciar un acercamiento al proceso de comunicación que constituye la creación de obras plásticas, visuales y audiovisuales como medio de transmisión de ideas y pensamientos.</t>
  </si>
  <si>
    <t>EPV.1.5.2</t>
  </si>
  <si>
    <t>Adquirir y desarrollar el imaginario propio a través de la implementación de un pensamiento creativo caracterizado por mensajes cuya canalización discurre a través de cauces plásticos, visuales y audiovisuales, favoreciendo el comienzo de la integración de conceptos como la racionalidad, la empatía o la sensibilidad.</t>
  </si>
  <si>
    <t>B.5 · C.1 · C.2</t>
  </si>
  <si>
    <t>EPV.1.5.3</t>
  </si>
  <si>
    <t>Empezar a descubrir y seleccionar aquellos procedimientos y técnicas más idóneos en relación con los fines de presentación y representación perseguidos.</t>
  </si>
  <si>
    <t>EPV.1.6.1</t>
  </si>
  <si>
    <t>Comprender su pertenencia a un contexto cultural, en este caso el Andaluz, con el descubrimiento y análisis de los aspectos formales y de los factores sociales que determinan las producciones de artistas actuales, mostrando empatía y una actitud colaborativa, abierta y respetuosa.</t>
  </si>
  <si>
    <t>EPV.1.6.2</t>
  </si>
  <si>
    <t>Identificar la representación de las vivencias y la visión del mundo que habita el alumnado, como un medio válido para aumentar la autoestima y el conocimiento de sí mismo y de sus iguales, favoreciendo los procesos de relación interpersonales.</t>
  </si>
  <si>
    <t>B.5 · E.1 · E.2</t>
  </si>
  <si>
    <t>EPV.1.6.3</t>
  </si>
  <si>
    <t>Entender la historia del arte y la cultura como un todo continuo e inseparable, en el cual las obras del pasado son la base sobre la que se construyen las creaciones del presente.</t>
  </si>
  <si>
    <t>EPV.1.7.1</t>
  </si>
  <si>
    <t>Analizar y comprender el proceso creativo de un proyecto artístico, así como diferenciar las distintas técnicas visuales o audiovisuales utilizadas para la generación de mensajes.</t>
  </si>
  <si>
    <t>EPV.1.7.2</t>
  </si>
  <si>
    <t>Iniciar la elaboración de producciones artísticas ajustadas al objetivo propuesto, utilizando las posibilidades expresivas de los elementos formales básicos en las artes visuales y audiovisuales, esforzándose en superarse y demostrando un criterio propio.</t>
  </si>
  <si>
    <t>EPV.1.8.1</t>
  </si>
  <si>
    <t>Compartir con un público</t>
  </si>
  <si>
    <t>📣</t>
  </si>
  <si>
    <t>Identificar rasgos básicos de distintas manifestaciones artísticas en el entorno cotidiano, exponiendo de forma individual o colectiva el significado y/o finalidad de las mismas.</t>
  </si>
  <si>
    <t>B.1 · D.1</t>
  </si>
  <si>
    <t>EPV.1.8.2</t>
  </si>
  <si>
    <t>Reconocer la intención comunicativa de distintos proyectos plásticos desde las distintas funciones y recursos que tiene el lenguaje visual y audiovisual y comenzar con su aplicación dentro del desarrollo proyectual individual y colectivo.</t>
  </si>
  <si>
    <t>B.1 · B.2 · B.3 · B.4 · B.5 · D.1</t>
  </si>
  <si>
    <t>EPV.1.8.3</t>
  </si>
  <si>
    <t>Iniciar un proceso de análisis y reflexión a partir de los resultados obtenidos a través de la realización de los proyectos artísticos visuales o audiovisuales llevados a cabo, desarrollados de forma individual o colectiva, incidiendo en la búsqueda de soluciones a aquellos interrogantes surgidos durante la ejecución de los mismos.</t>
  </si>
  <si>
    <t>B.1 · B.2 · D.1</t>
  </si>
  <si>
    <t>MUS.1.1.1</t>
  </si>
  <si>
    <t>Iniciarse en la identificación de los principales rasgos estilísticos de obras musicales y dancísticas de diferentes épocas y culturas, mostrando respeto y disfrute en la escucha o el visionado de las mismas.</t>
  </si>
  <si>
    <t>A.1 · A.3 · A.6 · A.7 · C.1 · C.4</t>
  </si>
  <si>
    <t>MUS.1.1.2</t>
  </si>
  <si>
    <t>Analizar, con actitud abierta y respetuosa, las funciones desempeñadas por determinadas producciones musicales y dancísticas, identificando las principales características de su contexto histórico, social y cultural.</t>
  </si>
  <si>
    <t>A.2 · A.4 · C.1 · C.2 · C.4</t>
  </si>
  <si>
    <t>MUS.1.1.3</t>
  </si>
  <si>
    <t>Reconocer y determinar la época o cultura a la que pertenecen distintas manifestaciones musicales y dancísticas, valorando su influencia sobre la música y la danza actuales.</t>
  </si>
  <si>
    <t>A.2 · A.4 · A.5 · C.1 · C.2 · C.3</t>
  </si>
  <si>
    <t>MUS.1.2.1</t>
  </si>
  <si>
    <t>Expresión creativa e improvisación</t>
  </si>
  <si>
    <t>✨</t>
  </si>
  <si>
    <t>Explorar las posibilidades que tienen las técnicas musicales y dancísticas básicas, a través de actividades de improvisación pautada, individuales o grupales, en las que se empleen la voz, el cuerpo e instrumentos musicales.</t>
  </si>
  <si>
    <t>B.1 · B.2 · B.6 · B.10</t>
  </si>
  <si>
    <t>MUS.1.2.2</t>
  </si>
  <si>
    <t>Iniciarse en la realización de actividades pautadas de improvisación, incorporando las técnicas más adecuadas al repertorio personal de recursos.</t>
  </si>
  <si>
    <t>B.6 · B.7 · B.10</t>
  </si>
  <si>
    <t>MUS.1.3.1</t>
  </si>
  <si>
    <t>Interpretar</t>
  </si>
  <si>
    <t>🎸</t>
  </si>
  <si>
    <t>Iniciarse en la lectura de partituras sencillas, identificando de forma guiada los elementos básicos del lenguaje musical, con apoyo de la audición.</t>
  </si>
  <si>
    <t>MUS.1.3.2</t>
  </si>
  <si>
    <t>Emplear técnicas muy sencillas de interpretación vocal, corporal o instrumental, valorando los ensayos como espacios de escucha y aprendizaje.</t>
  </si>
  <si>
    <t>B.4 · B.5 · B.10</t>
  </si>
  <si>
    <t>MUS.1.3.3</t>
  </si>
  <si>
    <t>Interpretar, partiendo de pautas previamente establecidas, piezas musicales y dancísticas sencillas, individuales y grupales, dentro y fuera del aula, gestionado sus emociones, y demostrando una actitud de superación y mejora.</t>
  </si>
  <si>
    <t>B.3 · B.4 · B.5</t>
  </si>
  <si>
    <t>MUS.1.4.1</t>
  </si>
  <si>
    <t>Desarrollar, de manera guiada, propuestas artísticos-musicales, tanto individuales como colaborativas, empleando la voz, el cuerpo, instrumentos musicales y dancísticos, así como herramientas tecnológicas.</t>
  </si>
  <si>
    <t>A.6 · B.7 · B.8 · B.9 · C.4</t>
  </si>
  <si>
    <t>MUS.1.4.2</t>
  </si>
  <si>
    <t>Participar activamente en la ejecución de propuestas artísticomusicales colaborativas, valorando las aportaciones del resto de integrantes del grupo y descubriendo oportunidades de desarrollo personal, social y académico.</t>
  </si>
  <si>
    <t>B.5 · B.7</t>
  </si>
  <si>
    <t>CYR.1.1.1</t>
  </si>
  <si>
    <t>Comprender el funcionamiento global de los sistemas de computación física, sus componentes y principales características.</t>
  </si>
  <si>
    <t>C.1 · B.1 · B.2 · B.3</t>
  </si>
  <si>
    <t>CYR.1.1.2</t>
  </si>
  <si>
    <t>Reconocer el papel de la robótica en nuestra sociedad, indicando el marco elemental de trabajo de los mismos.</t>
  </si>
  <si>
    <t>CYR.1.1.3</t>
  </si>
  <si>
    <t>Entender la estructura básica de un programa informático.</t>
  </si>
  <si>
    <t>A.1 · A.3 · A.4</t>
  </si>
  <si>
    <t>CYR.1.1.4</t>
  </si>
  <si>
    <t>Comprender los principios básicos de ingeniería en los que se basan los robots.</t>
  </si>
  <si>
    <t>C.3 · C.4 · C.5</t>
  </si>
  <si>
    <t>CYR.1.2.1</t>
  </si>
  <si>
    <t>Programar</t>
  </si>
  <si>
    <t>💻</t>
  </si>
  <si>
    <t>Conocer y resolver la variedad de problemas posibles, desarrollando un programa informático y generalizando las soluciones, tanto de forma individual como trabajando en equipo, colaborando y comunicándose de forma adecuada.</t>
  </si>
  <si>
    <t>A.1 · A.2 · A.3 · A.4 · A.5</t>
  </si>
  <si>
    <t>CYR.1.2.3</t>
  </si>
  <si>
    <t>Conocer y resolver la variedad de problemas posibles desarrollando una aplicación móvil, particularizando las soluciones.</t>
  </si>
  <si>
    <t>D.1 · D.2 · D.4 · D.5 · B.4</t>
  </si>
  <si>
    <t>CYR.1.3.1</t>
  </si>
  <si>
    <t>Construir y automatizar</t>
  </si>
  <si>
    <t>🔌</t>
  </si>
  <si>
    <t>Ser capaz de construir un sistema de computación o robótico, promoviendo la interacción con el mundo físico en el contexto de un problema del mundo real, de forma sostenible.</t>
  </si>
  <si>
    <t>CYR.1.4.1</t>
  </si>
  <si>
    <t>Datos e inteligencia artificial</t>
  </si>
  <si>
    <t>Conocer la naturaleza de los distintos tipos de datos generados hoy en día, siendo capaces de analizarlos, visualizarlos y compararlos, empleando a su vez un espíritu crítico y científico.</t>
  </si>
  <si>
    <t>G.1 · G.2 · G.3 · G.4</t>
  </si>
  <si>
    <t>CYR.1.4.2</t>
  </si>
  <si>
    <t>Comprender los principios básicos de funcionamiento de los agentes inteligentes y de las técnicas de aprendizaje automático, con objeto de aplicarlos para la resolución de situaciones mediante la Inteligencia Artificial de forma ética y responsable.</t>
  </si>
  <si>
    <t>H.1 · H.2 · H.3 · H.4 · H.5</t>
  </si>
  <si>
    <t>CYR.1.5.1</t>
  </si>
  <si>
    <t>Crear aplicaciones</t>
  </si>
  <si>
    <t>🪟</t>
  </si>
  <si>
    <t>Conocer la construcción de aplicaciones informáticas y web, entendiendo su funcionamiento interno, de forma segura, responsable y respetuosa.</t>
  </si>
  <si>
    <t>CYR.1.5.2</t>
  </si>
  <si>
    <t>Conocer y resolver la variedad de problemas potencialmente presentes en el desarrollo de una aplicación web, tratando de generalizar posibles soluciones.</t>
  </si>
  <si>
    <t>E.3 · E.4</t>
  </si>
  <si>
    <t>CYR.1.6.1</t>
  </si>
  <si>
    <t>Adoptar conductas y hábitos que permitan la protección del individuo en su interacción en la red.</t>
  </si>
  <si>
    <t>I.2</t>
  </si>
  <si>
    <t>CYR.1.6.2</t>
  </si>
  <si>
    <t>Acceder a servicios de intercambio y publicación de información digital aplicando criterios básicos de seguridad y uso responsable.</t>
  </si>
  <si>
    <t>I.4</t>
  </si>
  <si>
    <t>CYR.1.6.3</t>
  </si>
  <si>
    <t>Reconocer y comprender los derechos de los materiales alojados en la web.</t>
  </si>
  <si>
    <t>I.5</t>
  </si>
  <si>
    <t>CYR.1.6.4</t>
  </si>
  <si>
    <t>Adoptar conductas de seguridad activa y pasiva en la protección de datos y en el intercambio de información.</t>
  </si>
  <si>
    <t>I.1 · I.3</t>
  </si>
  <si>
    <t>CCL.1.1.1</t>
  </si>
  <si>
    <t>Localizar, de manera guiada, en un mapa enclaves concretos relevantes de las civilizaciones griega y romana, señalando lugares de relevancia histórica, artística o arqueológica, empleando diversidad de medios y soportes analógicos y digitales.</t>
  </si>
  <si>
    <t>A.1 · A.3</t>
  </si>
  <si>
    <t>CCL.1.1.2</t>
  </si>
  <si>
    <t>Identificar, a grandes rasgos, lugares concretos en el que se han desarrollado las civilizaciones griega y romana, reconociendo conexión con Andalucía.</t>
  </si>
  <si>
    <t>A.2 · A.4</t>
  </si>
  <si>
    <t>CCL.1.1.3</t>
  </si>
  <si>
    <t>Conocer el origen grecorromano de las ciudades de Hispania romana, sobre todo las andaluzas.</t>
  </si>
  <si>
    <t>A.5</t>
  </si>
  <si>
    <t>CCL.1.2.1</t>
  </si>
  <si>
    <t>Reconocer el marco histórico en el que se desarrolla la cultura de Grecia y Roma, situando en un eje cronológico básico personajes y pueblos de relevancia posterior.</t>
  </si>
  <si>
    <t>A.6 · A.7</t>
  </si>
  <si>
    <t>CCL.1.2.2</t>
  </si>
  <si>
    <t>Reconocer hitos esenciales en la historia de Grecia y Roma, valorando la pervivencia de algunos de ellos en la actualidad.</t>
  </si>
  <si>
    <t>A.7 · A.9</t>
  </si>
  <si>
    <t>CCL.1.2.3</t>
  </si>
  <si>
    <t>Acercarse, de manera guiada, a personajes célebres en la Antigua Roma procedentes de Hispania romana, con especial atención a los de la Bética.</t>
  </si>
  <si>
    <t>A.10</t>
  </si>
  <si>
    <t>CCL.1.3.1</t>
  </si>
  <si>
    <t>Conocer el origen de las primeras formas de política en Grecia y Roma, especialmente el nacimiento de la democracia.</t>
  </si>
  <si>
    <t>CCL.1.3.2</t>
  </si>
  <si>
    <t>Reconocer los distintos trabajos y empleos en el mundo grecorromano, reflexionando sobre los modelos sociales que configuran.</t>
  </si>
  <si>
    <t>B.3</t>
  </si>
  <si>
    <t>CCL.1.3.3</t>
  </si>
  <si>
    <t>Conocer la organización familiar griega y romana y el papel que desarrollaban cada uno de sus miembros.</t>
  </si>
  <si>
    <t>CCL.1.3.4</t>
  </si>
  <si>
    <t>Conocer y reflexionar el sentido del ocio público, describiendo sus características principales.</t>
  </si>
  <si>
    <t>B.5</t>
  </si>
  <si>
    <t>CCL.1.3.5</t>
  </si>
  <si>
    <t>Reconocer modelos clásicos en la organización familiar, ocio y espectáculo.</t>
  </si>
  <si>
    <t>B.6</t>
  </si>
  <si>
    <t>CCL.1.4.1</t>
  </si>
  <si>
    <t>Textos, mitos y creencias</t>
  </si>
  <si>
    <t>📜</t>
  </si>
  <si>
    <t>Conocer e identificar en textos las semejanzas y diferencias entre mitos y héroe grecolatinos.</t>
  </si>
  <si>
    <t>C.1</t>
  </si>
  <si>
    <t>CCL.1.4.2</t>
  </si>
  <si>
    <t>Conocer los principales dioses de la mitología grecolatina.</t>
  </si>
  <si>
    <t>CCL.1.4.3</t>
  </si>
  <si>
    <t>Conocer las características de la religiosidad y religión grecolatina.</t>
  </si>
  <si>
    <t>C.3</t>
  </si>
  <si>
    <t>CCL.1.4.4</t>
  </si>
  <si>
    <t>4.4</t>
  </si>
  <si>
    <t>Reconocer en Andalucía la presencia del mito clásico en las leyendas sobre dioses, héroes.</t>
  </si>
  <si>
    <t>C.4</t>
  </si>
  <si>
    <t>CCL.1.5.1</t>
  </si>
  <si>
    <t>Conocer las características básicas del arte clásico, identificando los monumentos clásicos más significativos.</t>
  </si>
  <si>
    <t>CCL.1.5.2</t>
  </si>
  <si>
    <t>Reconocer en las artes su poder expresivo de crítica y legitimación.</t>
  </si>
  <si>
    <t>CCL.1.5.3</t>
  </si>
  <si>
    <t>Conocer monumentos clásicos del patrimonio español y europeo, mostrando respeto hacia la herencia artística de otros pueblos.</t>
  </si>
  <si>
    <t>D.4</t>
  </si>
  <si>
    <t>CCL.1.5.4</t>
  </si>
  <si>
    <t>5.4</t>
  </si>
  <si>
    <t>Conocer monumentos clásicos representativos en Andalucía y en la Península Ibérica.</t>
  </si>
  <si>
    <t>CCL.1.5.5</t>
  </si>
  <si>
    <t>5.5</t>
  </si>
  <si>
    <t>Exponer de forma oral o escrita características básicas del legado artístico de la civilización romana y su pervivencia en el presente, sobre todo en monumentos del patrimonio andaluz, a través de soportes analógicos y digitales.</t>
  </si>
  <si>
    <t>D.6 · D.7</t>
  </si>
  <si>
    <t>CCL.1.6.1</t>
  </si>
  <si>
    <t>Distinguir distintos tipos de alfabetos usados en la actualidad.</t>
  </si>
  <si>
    <t>CCL.1.6.2</t>
  </si>
  <si>
    <t>Conocer el origen común de diferentes lenguas romances.</t>
  </si>
  <si>
    <t>E.3</t>
  </si>
  <si>
    <t>CCL.1.6.3</t>
  </si>
  <si>
    <t>Aproximarse al origen de las lenguas romances a partir del latín.</t>
  </si>
  <si>
    <t>E.4</t>
  </si>
  <si>
    <t>CCL.1.6.4</t>
  </si>
  <si>
    <t>Conocer las lenguas romances y no romances de la Península Ibérica, localizándolas en un mapa.</t>
  </si>
  <si>
    <t>E.5</t>
  </si>
  <si>
    <t>CCL.1.6.5</t>
  </si>
  <si>
    <t>6.5</t>
  </si>
  <si>
    <t>Identificar el léxico de origen grecolatino en la propia lengua.</t>
  </si>
  <si>
    <t>E.6</t>
  </si>
  <si>
    <t>CCL.1.6.6</t>
  </si>
  <si>
    <t>6.6</t>
  </si>
  <si>
    <t>Conocer principales los géneros literarios grecolatinos.</t>
  </si>
  <si>
    <t>E.7 · E.8</t>
  </si>
  <si>
    <t>OYD.1.1.1</t>
  </si>
  <si>
    <t>Leer, comprender y escuchar discursos persuasivos sencillos.</t>
  </si>
  <si>
    <t>OYD.1.1.2</t>
  </si>
  <si>
    <t>Identificar y valorar los diferentes estilos argumentativos.</t>
  </si>
  <si>
    <t>A.2 · A.3</t>
  </si>
  <si>
    <t>OYD.1.1.3</t>
  </si>
  <si>
    <t>Reconocer y valorar los elementos propios de la puesta en escena de los discursos persuasivos orales.</t>
  </si>
  <si>
    <t>A.3 · A.4</t>
  </si>
  <si>
    <t>OYD.1.2.1</t>
  </si>
  <si>
    <t>Reconocer en un texto breve el núcleo del discurso, la tesis.</t>
  </si>
  <si>
    <t>B.1</t>
  </si>
  <si>
    <t>OYD.1.2.2</t>
  </si>
  <si>
    <t>Adaptar las características del discurso al contexto comunicativo.</t>
  </si>
  <si>
    <t>B.2</t>
  </si>
  <si>
    <t>OYD.1.2.3</t>
  </si>
  <si>
    <t>Conocer las diferentes estrategias para captar la atención de la audiencia.</t>
  </si>
  <si>
    <t>A.3 · B.3</t>
  </si>
  <si>
    <t>OYD.1.2.4</t>
  </si>
  <si>
    <t>Conocer las técnicas de documentación e investigación para plantear el discurso argumentativo.</t>
  </si>
  <si>
    <t>OYD.1.2.5</t>
  </si>
  <si>
    <t>2.5</t>
  </si>
  <si>
    <t>Seleccionar las ideas más adecuadas y organizadas en una estructura textual ordenada.</t>
  </si>
  <si>
    <t>B.2 · B.4</t>
  </si>
  <si>
    <t>OYD.1.2.6</t>
  </si>
  <si>
    <t>2.6</t>
  </si>
  <si>
    <t>Conocer los recursos propios de la argumentación con corrección lingüística.</t>
  </si>
  <si>
    <t>OYD.1.3.1</t>
  </si>
  <si>
    <t>Conocer distintas estrategias mnemotécnicas en el discurso persuasivo.</t>
  </si>
  <si>
    <t>B.5 · C.1</t>
  </si>
  <si>
    <t>OYD.1.3.2</t>
  </si>
  <si>
    <t>Gestionar las emociones positivas y negativas para la exposición de las ideas y opiniones en público.</t>
  </si>
  <si>
    <t>B.2 · C.2</t>
  </si>
  <si>
    <t>OYD.1.3.3</t>
  </si>
  <si>
    <t>Pronunciar el discurso con corrección y claridad.</t>
  </si>
  <si>
    <t>OYD.1.3.4</t>
  </si>
  <si>
    <t>Usar de manera adecuada soportes técnicos para apoyar el discurso y mantener la atención del interlocutor.</t>
  </si>
  <si>
    <t>B.2 · C.5</t>
  </si>
  <si>
    <t>OYD.1.4.1</t>
  </si>
  <si>
    <t>Usar la oratoria como instrumento ético para la construcción o aproximación a la verdad.</t>
  </si>
  <si>
    <t>OYD.1.4.2</t>
  </si>
  <si>
    <t>Aprender a elaborar textos relacionados con diversos ámbitos de participación social, identificando y conociendo las normas básicas de convivencia.</t>
  </si>
  <si>
    <t>B.2 · D.2</t>
  </si>
  <si>
    <t>OYD.1.4.3</t>
  </si>
  <si>
    <t>Entender como valor positivo para las relaciones interpersonales el uso cívico de la palabra.</t>
  </si>
  <si>
    <t>OYD.1.4.4</t>
  </si>
  <si>
    <t>Conocer los elementos propios del lenguaje gestual que garanticen la atención del interlocutor.</t>
  </si>
  <si>
    <t>OYD.1.5.1</t>
  </si>
  <si>
    <t>Conocer la estructura del debate, conociendo y valorando las reglas de interacción, intervención y cortesía para participar activamente en debates escolares.</t>
  </si>
  <si>
    <t>D.4 · E.1</t>
  </si>
  <si>
    <t>OYD.1.5.2</t>
  </si>
  <si>
    <t>Aprender a gestionar de manera apropiada los tiempos y espacios del debate académico, así como a identificarlas.</t>
  </si>
  <si>
    <t>E.2</t>
  </si>
  <si>
    <t>OYD.1.5.3</t>
  </si>
  <si>
    <t>Conocer, valorar y disfrutar el debate como manifestación cultural y social de los pueblos.</t>
  </si>
  <si>
    <t>E.3 · D.2</t>
  </si>
  <si>
    <t>RCA.12.1.1</t>
  </si>
  <si>
    <t>Describir y aceptar los rasgos y dimensiones fundamentales de la identidad personal, analizando relatos bíblicos de vocación y misión, así como otras biografías significativas.</t>
  </si>
  <si>
    <t>RCA.12.1.2</t>
  </si>
  <si>
    <t>Identificar las características de la visión bíblica sobre el ser humano, relacionándola con la dignidad personal, reconociéndola en los otros.</t>
  </si>
  <si>
    <t>RCA.12.2.1</t>
  </si>
  <si>
    <t>Adquirir habilidades y actitudes de relación con otros, poniendo en práctica estrategias efectivas de reflexión y de comunicación, de ayuda mutua, de participación y de inclusión, orientadas a la mejora de la convivencia en la familia y en la escuela como expresión de la fraternidad universal.</t>
  </si>
  <si>
    <t>A.4 · C.1</t>
  </si>
  <si>
    <t>RCA.12.2.2</t>
  </si>
  <si>
    <t>Desarrollar empatía y reconocimiento de la diversidad personal y social, inspirándose en el ser relacional de Dios, manifestado en la historia de la salvación.</t>
  </si>
  <si>
    <t>RCA.12.3.1</t>
  </si>
  <si>
    <t>Generar actitudes de justicia y solidaridad, respetando la diversidad y tomando conciencia de la responsabilidad compartida y la común pertenencia, en el horizonte del Reino de Dios.</t>
  </si>
  <si>
    <t>C.2 · C.5</t>
  </si>
  <si>
    <t>RCA.12.3.2</t>
  </si>
  <si>
    <t>Analizar las necesidades sociales, identificando las situaciones de injusticia, violencia y discriminación, con sus causas, discerniéndolas según el proyecto del Reino de Dios, implicándose en propuestas de transformación social.</t>
  </si>
  <si>
    <t>RCA.12.4.1</t>
  </si>
  <si>
    <t>Situar e interpretar las expresiones culturales y sus lenguajes en sus contextos históricos, apreciando su contribución a la identidad personal y social y a los Derechos Humanos, facilitando la convivencia y el diálogo intercultural.</t>
  </si>
  <si>
    <t>B.8</t>
  </si>
  <si>
    <t>RCA.12.4.2</t>
  </si>
  <si>
    <t>Razonar cómo la fe cristiana, en el presente y a lo largo de la historia, se ha hecho cultura, interpretando el patrimonio literario, artístico y cultural y valorándolo como expresión de la encarnación del mensaje cristiano en diferentes lenguajes.</t>
  </si>
  <si>
    <t>RCA.12.5.1</t>
  </si>
  <si>
    <t>Interioridad y espiritualidad</t>
  </si>
  <si>
    <t>☀️</t>
  </si>
  <si>
    <t>Valorar la experiencia espiritual y religiosa como dimensión humana y social propia de todos los pueblos y culturas, conociendo la especificidad de la espiritualidad judeocristiana y de otras religiones.</t>
  </si>
  <si>
    <t>A.5 · A.6</t>
  </si>
  <si>
    <t>RCA.12.5.2</t>
  </si>
  <si>
    <t>Respetar las diferentes iglesias y tradiciones religiosas, conociendo y valorando las creencias, ritos, símbolos y principios de cada una de ellas, teniendo elementos de juicio personal que favorezcan el diálogo interreligioso.</t>
  </si>
  <si>
    <t>RCA.12.6.1</t>
  </si>
  <si>
    <t>Identificar a Jesucristo como núcleo esencial del cristianismo, y la Biblia como libro del Pueblo de Dios, valorando sus aportaciones a la vida de las personas y las sociedades.</t>
  </si>
  <si>
    <t>B.1 · B.3 · B.6</t>
  </si>
  <si>
    <t>RCA.12.6.2</t>
  </si>
  <si>
    <t>Elaborar una primera síntesis de la fe cristiana, subrayando su capacidad para el diálogo entre la fe y la razón, entre la fe y la cultura, manteniendo las convicciones propias con pleno respeto a las de los otros.</t>
  </si>
  <si>
    <t>REV.12.1.1</t>
  </si>
  <si>
    <t>Conocer la estructura del Antiguo y Nuevo Testamento e identificar los autores por libro, resumiendo brevemente la historia bíblica contenida en ellos.</t>
  </si>
  <si>
    <t>REV.12.1.2</t>
  </si>
  <si>
    <t>Identificar y analizar la información relacionada con la inspiración, revelación y canon; valorando el propósito y principios aplicables a la vida diaria de la Palabra de Dios.</t>
  </si>
  <si>
    <t>REV.12.1.3</t>
  </si>
  <si>
    <t>Identificar las principales enseñanzas de la Biblia sobre Dios y su relación con el ser humano, mostrando habilidad para manejar la Biblia con autonomía.</t>
  </si>
  <si>
    <t>REV.12.2.1</t>
  </si>
  <si>
    <t>Identificar y ordenar cronológicamente las etapas de la vida de Jesús (infancia y primeros años de ministerio), examinando en los evangelios sinópticos la respuesta de personajes bíblicos al plan de salvación.</t>
  </si>
  <si>
    <t>B.4 · B.6</t>
  </si>
  <si>
    <t>REV.12.2.2</t>
  </si>
  <si>
    <t>Explicar la figura de Jesús, su divinidad y humanidad, así como su ejemplo de vida, analizando textos del Antiguo y Nuevo Testamento.</t>
  </si>
  <si>
    <t>REV.12.2.3</t>
  </si>
  <si>
    <t>Analizar las relaciones de Jesús con los discípulos y diversas personas, reconociendo, mediante el estudio, individual y grupal, de diversos textos de los Evangelios, las implicaciones personales que tiene ser discípulo de Jesucristo.</t>
  </si>
  <si>
    <t>REV.12.3.1</t>
  </si>
  <si>
    <t>Identificar y explicar los textos bíblicos clave que muestran que el ser humano ha sido creado a la imagen de Dios, apreciando el amor de Dios por la humanidad y las implicaciones que eso tiene.</t>
  </si>
  <si>
    <t>C.1 · C.3</t>
  </si>
  <si>
    <t>REV.12.3.2</t>
  </si>
  <si>
    <t>Identificar pasajes bíblicos que muestran ejemplos de conductas, actitudes y valores, verificando que reflejan una relación personal con Dios.</t>
  </si>
  <si>
    <t>REV.12.3.3</t>
  </si>
  <si>
    <t>Identificar los textos bíblicos clave que expresan las consecuencias del pecado en la relación con Dios, con nosotros mismos y con otras personas, descubriendo sus efectos destructivos y la esperanza de restauración que enseña la Biblia.</t>
  </si>
  <si>
    <t>REV.12.4.1</t>
  </si>
  <si>
    <t>Analizar la importancia de la libertad de conciencia y la responsabilidad en el marco bíblico y en el contexto social, identificando los valores predominantes en la sociedad actual respecto a diversas situaciones éticas.</t>
  </si>
  <si>
    <t>D.1 · D.2 · D.3</t>
  </si>
  <si>
    <t>REV.12.4.2</t>
  </si>
  <si>
    <t>Apreciar los principios de respeto, amor al prójimo, cuidado de la creación, responsabilidad social y la importancia del trabajo examinándolos desde una perspectiva bíblica.</t>
  </si>
  <si>
    <t>REV.12.4.3</t>
  </si>
  <si>
    <t>Entender la base bíblica de la familia cristiana, comprendiendo el lugar y la responsabilidad que tiene en el entorno familiar.</t>
  </si>
  <si>
    <t>REV.12.5.1</t>
  </si>
  <si>
    <t>Identificar los principales sucesos en la historia bíblica desde Adán, los Patriarcas, el cautiverio en Egipto, y la liberación hasta la llegada a la Tierra Prometida, elaborando la información recogida.</t>
  </si>
  <si>
    <t>REV.12.5.2</t>
  </si>
  <si>
    <t>Sacar conclusiones acerca de las implicaciones que tienen los principales hechos de la historia antigua y tipos de leyes del pueblo de Israel en el plan de Dios para la salvación de la humanidad, examinando textos del Antiguo y Nuevo Testamento.</t>
  </si>
  <si>
    <t>REV.12.6.1</t>
  </si>
  <si>
    <t>Obtener información concreta y relevante sobre el concepto y orígenes de la Iglesia, considerando la importancia de la obra del Espíritu Santo, reflejando por escrito las actitudes identificadas.</t>
  </si>
  <si>
    <t>F.1 · F.2</t>
  </si>
  <si>
    <t>REV.12.6.2</t>
  </si>
  <si>
    <t>Identificar y situar cronológica y geográficamente los principales hechos históricos en el devenir del pueblo cristiano desde el período neotestamentario hasta la Edad Media, analizando las consecuencias sociales e históricas de los mismos.</t>
  </si>
  <si>
    <t>RIS.12.1.1</t>
  </si>
  <si>
    <t>Conocer y respetar las religiones reconocidas con la denominación de «notorio arraigo» en España, describiendo de varias formas los valores y las actitudes de los Profetas y Mensajeros coránicos enviados a sus pueblos, sus libros y las principales expectativas generadas en sus seguidores, buscando similitudes y diferencias a través de las vidas de los Profetas y Mensajeros narradas en dichas confesiones.</t>
  </si>
  <si>
    <t>RIS.12.1.2</t>
  </si>
  <si>
    <t>Conocer e identificar, de modo cada vez más autónomo, el comportamiento individual y colectivo más relevante de las personas creyentes y su repercusión en la convivencia, basándose en las enseñanzas y el ejemplo de personas sabias, para aplicar conceptos de «ilícito», «desaconsejable», «libre», «aconsejable» y «obligatorio» a través de diversos medios.</t>
  </si>
  <si>
    <t>RIS.12.1.3</t>
  </si>
  <si>
    <t>Identificar y cuestionar algún «bulo», mensaje engañoso o información errónea de actualidad relacionada con el Islam procedente de las redes sociales y los medios de comunicación, participando de forma colaborativa en la producción de otra información veraz y basada en la convivencia y el diálogo interreligioso e intercultural.</t>
  </si>
  <si>
    <t>RIS.12.1.4</t>
  </si>
  <si>
    <t>Buscar y explicar, en el trabajo en grupo, los aspectos esenciales de los Acuerdos de Cooperación celebrados por el Estado español con la Comisión Islámica de España, participando en la identificación de sus artículos y sus relaciones con los derechos y las libertades recogidas en el articulado de la Constitución .</t>
  </si>
  <si>
    <t>RIS.12.2.1</t>
  </si>
  <si>
    <t>Comprender y explicar que, en algunos casos, una misma pregunta puede obtener distintas fetuas, especialmente con el paso del tiempo entre diferentes muftíes, comenzando a identificar a los primeros muftíes (el Profeta, los Califas ortodoxos…) y a examinar algunas fetuas contradictorias de forma guiada y a través del uso autónomo, crítico y fiable de varias fuentes de información con un propósito concreto.</t>
  </si>
  <si>
    <t>B.10 · B.12</t>
  </si>
  <si>
    <t>RIS.12.2.2</t>
  </si>
  <si>
    <t>Obtener e interpretar el sentido de varias aleyas y hadices, y las expectativas generadas en los destinatarios, de forma acompañada, apoyándose en los elementos contextuales (situación, canal, propósitos...) de los Textos y debatiendo de forma constructiva la interpretación seleccionada entre varias personas eruditas del Tafsir.</t>
  </si>
  <si>
    <t>RIS.12.2.3</t>
  </si>
  <si>
    <t>Clasificar y narrar oralmente algunos hadices en el modo y en el sentido con los que los dijo el Profeta (P.B.), seleccionados de colecciones clásicas del Hadiz, analizando sus formas, contenidos, métodos de transmisión y conservación de su autenticidad.</t>
  </si>
  <si>
    <t>RIS.12.2.4</t>
  </si>
  <si>
    <t>Identificar la intención del emisor y el efecto de ella en el receptor en algunos hadices mediante la identificación y el análisis de los componentes del acto comunicativo (situación, propósitos, canal…), clasificando su autenticidad.</t>
  </si>
  <si>
    <t>RIS.12.2.5</t>
  </si>
  <si>
    <t>Seleccionar y comparar el nivel de precisión entre las principales traducciones de los siglos XX y XXI sobre los Textos y la Sirah con sentido crítico, valorando sus contribuciones a la comprensión del Islam en lengua castellana.</t>
  </si>
  <si>
    <t>RIS.12.2.6</t>
  </si>
  <si>
    <t>Identificar y reflexionar sobre las dificultades más significativas surgidas durante el proceso de aprendizaje de la jurisprudencia que regula los principales actos de adoración (pilares del Islam), planteando en el trabajo grupal varias soluciones teórico-prácticas obtenidas del Fiqh y reflexionando sobre el plan de trabajo seguido, el modo de enfrentarse en equipo a estas dificultades y la toma de conciencia sobre los propios procesos metacognitivos de retroalimentación.</t>
  </si>
  <si>
    <t>RIS.12.3.1</t>
  </si>
  <si>
    <t>Participar en proyectos sobre las festividades de las distintas confesiones y culturas del entorno de forma colaborativa y respetuosa en el trabajo en grupo, a través de la elaboración de ideas clave obtenidas a partir de diversas fuentes de información, debatiendo las conclusiones y reforzando la convivencia positiva.</t>
  </si>
  <si>
    <t>C.3 · C.7</t>
  </si>
  <si>
    <t>RIS.12.3.2</t>
  </si>
  <si>
    <t>Colaborar en la resolución de varios desafíos globales y cercanos relacionados con las competencias clave y los retos del siglo XXI, mediante el trabajo individual y de equipo, identificando la aportación del Islam a su resolución a partir de propuestas morales y normativas.</t>
  </si>
  <si>
    <t>RIS.12.3.3</t>
  </si>
  <si>
    <t>Localizar y analizar en la historia de España los aspectos esenciales del modelo de convivencia de al-Ándalus, identificando la coexistencia y las principales aportaciones a la humanidad que surgieron en la España musulmana durante la Edad Media.</t>
  </si>
  <si>
    <t>RIS.12.3.4</t>
  </si>
  <si>
    <t>Ubicar geográfica y cronológicamente el periodo de la Sirah en la historia del Islam y seleccionar algunas situaciones del Profeta (P.B) que proporcionen información significativa sobre su actitud ante las ideas contrarias de las demás personas durante el periodo de la Prédica, sintetizando las decisiones clave mediante trabajo grupal y utilizando varias fuentes y plataformas de información.</t>
  </si>
  <si>
    <t>Materias del proyecto · esta hoja alimenta los desplegables: no cambies el orden de las columnas</t>
  </si>
  <si>
    <t>Icono</t>
  </si>
  <si>
    <t>Grupo</t>
  </si>
  <si>
    <t>Criterios</t>
  </si>
  <si>
    <t>Competencias</t>
  </si>
  <si>
    <t>Color</t>
  </si>
  <si>
    <t>Ideas de partida</t>
  </si>
  <si>
    <t>MAT</t>
  </si>
  <si>
    <t>Materias comunes</t>
  </si>
  <si>
    <t>#0369a1</t>
  </si>
  <si>
    <t>F2: Un pedido sin errores · F5: Lo que dicen las ventas</t>
  </si>
  <si>
    <t>LCL</t>
  </si>
  <si>
    <t>#be123c</t>
  </si>
  <si>
    <t>F2: Cómo se lee una factura · F6: Contamos lo que hicimos</t>
  </si>
  <si>
    <t>LEX</t>
  </si>
  <si>
    <t>#6d28d9</t>
  </si>
  <si>
    <t>F1: Mini catalogue · F4: At the shop</t>
  </si>
  <si>
    <t>GEH</t>
  </si>
  <si>
    <t>#047857</t>
  </si>
  <si>
    <t>F1: Dónde abrimos la tienda · F6: Barrio o gran superficie</t>
  </si>
  <si>
    <t>BYG</t>
  </si>
  <si>
    <t>#4d7c0f</t>
  </si>
  <si>
    <t>F1: Envases con cabeza · F5: ¿Cuánto residuo evitamos?</t>
  </si>
  <si>
    <t>EFI</t>
  </si>
  <si>
    <t>#c2410c</t>
  </si>
  <si>
    <t>F1: Tienda de material deportivo · F4: Un mercado seguro</t>
  </si>
  <si>
    <t>EPV</t>
  </si>
  <si>
    <t>#b45309</t>
  </si>
  <si>
    <t>F1: Un logotipo que se reconoce · F3: Un cartel en cinco segundos</t>
  </si>
  <si>
    <t>MUS</t>
  </si>
  <si>
    <t>#a21caf</t>
  </si>
  <si>
    <t>F3: Cuña de 15 segundos · F4: El ambiente del mercado</t>
  </si>
  <si>
    <t>CYR</t>
  </si>
  <si>
    <t>Optativas</t>
  </si>
  <si>
    <t>#4f46e5</t>
  </si>
  <si>
    <t>F2: Caja registradora en bloques · F5: Del registro al patrón</t>
  </si>
  <si>
    <t>CCL</t>
  </si>
  <si>
    <t>#991b1b</t>
  </si>
  <si>
    <t>F1: Del ágora y el foro al barrio · F3: Mercurio y la moneda</t>
  </si>
  <si>
    <t>OYD</t>
  </si>
  <si>
    <t>#0e7490</t>
  </si>
  <si>
    <t>F3: Vender sin engañar · F6: Debate de cierre</t>
  </si>
  <si>
    <t>SLE</t>
  </si>
  <si>
    <t>#7e22ce</t>
  </si>
  <si>
    <t>F1: La vitrine · F4: Au marché</t>
  </si>
  <si>
    <t>MLCT</t>
  </si>
  <si>
    <t>#881337</t>
  </si>
  <si>
    <t>F1: Leemos el catálogo · F3: Una oferta que diga la verdad</t>
  </si>
  <si>
    <t>RCA</t>
  </si>
  <si>
    <t>Religión</t>
  </si>
  <si>
    <t>#475569</t>
  </si>
  <si>
    <t>F3: ¿Es justa esta oferta? · F6: Una tienda que cuida</t>
  </si>
  <si>
    <t>REV</t>
  </si>
  <si>
    <t>#334155</t>
  </si>
  <si>
    <t>F3: Comercio honrado · F6: Una tienda que cuida</t>
  </si>
  <si>
    <t>RIS</t>
  </si>
  <si>
    <t>#57534e</t>
  </si>
  <si>
    <t>F1: Los zocos de Al-Ándalus · F6: Un barrio de muchas culturas</t>
  </si>
  <si>
    <t>Panel · se calcula solo desde la hoja «Aportaciones»</t>
  </si>
  <si>
    <t>Por tramo</t>
  </si>
  <si>
    <t>Apuntadas</t>
  </si>
  <si>
    <t>Enviadas</t>
  </si>
  <si>
    <t>Revisadas</t>
  </si>
  <si>
    <t>Qué mirar</t>
  </si>
  <si>
    <t>T1 · Me apunto</t>
  </si>
  <si>
    <t>Sin esto no se puede repartir nada: la fase 2 del aula necesita saber quién produce el catálogo y quién lo usa.</t>
  </si>
  <si>
    <t>T2 · Mi currículo</t>
  </si>
  <si>
    <t>Una aportación sin criterio es una actividad suelta: no se evalúa y no cuenta para tu programación.</t>
  </si>
  <si>
    <t>T3 · Encajamos</t>
  </si>
  <si>
    <t>Aquí es donde un proyecto interdisciplinar se cae: alguien espera un material que nadie se comprometió a entregar.</t>
  </si>
  <si>
    <t>T4 · Mi sesión</t>
  </si>
  <si>
    <t>Si el material se prepara en noviembre, se prepara mal o no se prepara.</t>
  </si>
  <si>
    <t>Por materia</t>
  </si>
  <si>
    <t>Filas</t>
  </si>
  <si>
    <t>Minutos</t>
  </si>
  <si>
    <t>Un pedido sin errores · Lo que dicen las ventas</t>
  </si>
  <si>
    <t>Cómo se lee una factura · Contamos lo que hicimos</t>
  </si>
  <si>
    <t>Mini catalogue · At the shop</t>
  </si>
  <si>
    <t>Dónde abrimos la tienda · Barrio o gran superficie</t>
  </si>
  <si>
    <t>Envases con cabeza · ¿Cuánto residuo evitamos?</t>
  </si>
  <si>
    <t>Tienda de material deportivo · Un mercado seguro</t>
  </si>
  <si>
    <t>Un logotipo que se reconoce · Un cartel en cinco segundos</t>
  </si>
  <si>
    <t>Cuña de 15 segundos · El ambiente del mercado</t>
  </si>
  <si>
    <t>Caja registradora en bloques · Del registro al patrón</t>
  </si>
  <si>
    <t>Del ágora y el foro al barrio · Mercurio y la moneda</t>
  </si>
  <si>
    <t>Vender sin engañar · Debate de cierre</t>
  </si>
  <si>
    <t>La vitrine · Au marché</t>
  </si>
  <si>
    <t>Leemos el catálogo · Una oferta que diga la verdad</t>
  </si>
  <si>
    <t>¿Es justa esta oferta? · Una tienda que cuida</t>
  </si>
  <si>
    <t>Comercio honrado · Una tienda que cuida</t>
  </si>
  <si>
    <t>Los zocos de Al-Ándalus · Un barrio de muchas culturas</t>
  </si>
  <si>
    <t>Por fase del aula</t>
  </si>
  <si>
    <t>Aportaciones</t>
  </si>
  <si>
    <t>Qué deja la fase</t>
  </si>
  <si>
    <t>Identidad de la tienda y catálogo</t>
  </si>
  <si>
    <t>Pedido o factura comprobados</t>
  </si>
  <si>
    <t>Oferta explicada con sus condiciones</t>
  </si>
  <si>
    <t>Registro de ventas</t>
  </si>
  <si>
    <t>Una decisión basada en datos</t>
  </si>
  <si>
    <t>Portfolio y presentación de 4–6 min</t>
  </si>
  <si>
    <t>Los recuentos ignoran la fila de ejemplo (fila 3). Bórrala cuando empiecen a entrar datos reales.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</si>
</sst>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d d mmm"/>
  </numFmts>
  <fonts count="28" x14ac:knownFonts="1">
    <font>
      <color theme="1"/>
      <family val="2"/>
      <scheme val="minor"/>
      <sz val="11"/>
      <name val="Calibri"/>
    </font>
    <font>
      <b/>
      <sz val="16"/>
      <name val="Arial"/>
    </font>
    <font>
      <b/>
      <sz val="10"/>
      <name val="Arial"/>
    </font>
    <font>
      <sz val="10"/>
      <name val="Arial"/>
    </font>
    <font>
      <b/>
      <color rgb="FFFFFFFF"/>
      <sz val="10"/>
      <name val="Arial"/>
    </font>
    <font>
      <b/>
      <sz val="13"/>
      <name val="Arial"/>
    </font>
    <font>
      <b/>
      <color rgb="FFFFFFFF"/>
      <sz val="11"/>
      <name val="Arial"/>
    </font>
    <font>
      <b/>
      <sz val="12"/>
      <name val="Arial"/>
    </font>
    <font>
      <color rgb="FF586273"/>
      <sz val="9"/>
      <name val="Arial"/>
    </font>
    <font>
      <i/>
      <color rgb="FF586273"/>
      <sz val="10"/>
      <name val="Arial"/>
    </font>
    <font>
      <b/>
      <color rgb="FF0369a1"/>
      <sz val="10"/>
      <name val="Arial"/>
    </font>
    <font>
      <sz val="9"/>
      <name val="Consolas"/>
    </font>
    <font>
      <b/>
      <color rgb="FFbe123c"/>
      <sz val="10"/>
      <name val="Arial"/>
    </font>
    <font>
      <b/>
      <color rgb="FF6d28d9"/>
      <sz val="10"/>
      <name val="Arial"/>
    </font>
    <font>
      <b/>
      <color rgb="FF047857"/>
      <sz val="10"/>
      <name val="Arial"/>
    </font>
    <font>
      <b/>
      <color rgb="FF4d7c0f"/>
      <sz val="10"/>
      <name val="Arial"/>
    </font>
    <font>
      <b/>
      <color rgb="FFc2410c"/>
      <sz val="10"/>
      <name val="Arial"/>
    </font>
    <font>
      <b/>
      <color rgb="FFb45309"/>
      <sz val="10"/>
      <name val="Arial"/>
    </font>
    <font>
      <b/>
      <color rgb="FFa21caf"/>
      <sz val="10"/>
      <name val="Arial"/>
    </font>
    <font>
      <b/>
      <color rgb="FF4f46e5"/>
      <sz val="10"/>
      <name val="Arial"/>
    </font>
    <font>
      <b/>
      <color rgb="FF991b1b"/>
      <sz val="10"/>
      <name val="Arial"/>
    </font>
    <font>
      <b/>
      <color rgb="FF0e7490"/>
      <sz val="10"/>
      <name val="Arial"/>
    </font>
    <font>
      <b/>
      <color rgb="FF7e22ce"/>
      <sz val="10"/>
      <name val="Arial"/>
    </font>
    <font>
      <b/>
      <color rgb="FF881337"/>
      <sz val="10"/>
      <name val="Arial"/>
    </font>
    <font>
      <b/>
      <color rgb="FF475569"/>
      <sz val="10"/>
      <name val="Arial"/>
    </font>
    <font>
      <b/>
      <color rgb="FF334155"/>
      <sz val="10"/>
      <name val="Arial"/>
    </font>
    <font>
      <b/>
      <color rgb="FF57534e"/>
      <sz val="10"/>
      <name val="Arial"/>
    </font>
    <font>
      <b/>
      <sz val="14"/>
      <name val="Arial"/>
    </font>
  </fonts>
  <fills count="40">
    <fill>
      <patternFill patternType="none"/>
    </fill>
    <fill>
      <patternFill patternType="gray125"/>
    </fill>
    <fill>
      <patternFill patternType="solid">
        <fgColor rgb="FF0369a1"/>
      </patternFill>
    </fill>
    <fill>
      <patternFill patternType="solid">
        <fgColor rgb="FFbe123c"/>
      </patternFill>
    </fill>
    <fill>
      <patternFill patternType="solid">
        <fgColor rgb="FF6d28d9"/>
      </patternFill>
    </fill>
    <fill>
      <patternFill patternType="solid">
        <fgColor rgb="FF047857"/>
      </patternFill>
    </fill>
    <fill>
      <patternFill patternType="solid">
        <fgColor rgb="FF4d7c0f"/>
      </patternFill>
    </fill>
    <fill>
      <patternFill patternType="solid">
        <fgColor rgb="FFc2410c"/>
      </patternFill>
    </fill>
    <fill>
      <patternFill patternType="solid">
        <fgColor rgb="FFb45309"/>
      </patternFill>
    </fill>
    <fill>
      <patternFill patternType="solid">
        <fgColor rgb="FFa21caf"/>
      </patternFill>
    </fill>
    <fill>
      <patternFill patternType="solid">
        <fgColor rgb="FF4f46e5"/>
      </patternFill>
    </fill>
    <fill>
      <patternFill patternType="solid">
        <fgColor rgb="FF991b1b"/>
      </patternFill>
    </fill>
    <fill>
      <patternFill patternType="solid">
        <fgColor rgb="FF0e7490"/>
      </patternFill>
    </fill>
    <fill>
      <patternFill patternType="solid">
        <fgColor rgb="FF7e22ce"/>
      </patternFill>
    </fill>
    <fill>
      <patternFill patternType="solid">
        <fgColor rgb="FF881337"/>
      </patternFill>
    </fill>
    <fill>
      <patternFill patternType="solid">
        <fgColor rgb="FF475569"/>
      </patternFill>
    </fill>
    <fill>
      <patternFill patternType="solid">
        <fgColor rgb="FF334155"/>
      </patternFill>
    </fill>
    <fill>
      <patternFill patternType="solid">
        <fgColor rgb="FF57534e"/>
      </patternFill>
    </fill>
    <fill>
      <patternFill patternType="solid">
        <fgColor rgb="FF1B2330"/>
      </patternFill>
    </fill>
    <fill>
      <patternFill patternType="solid">
        <fgColor rgb="FF586273"/>
      </patternFill>
    </fill>
    <fill>
      <patternFill patternType="solid">
        <fgColor rgb="FFe0f2fe"/>
      </patternFill>
    </fill>
    <fill>
      <patternFill patternType="solid">
        <fgColor rgb="FFffe4e6"/>
      </patternFill>
    </fill>
    <fill>
      <patternFill patternType="solid">
        <fgColor rgb="FFede9fe"/>
      </patternFill>
    </fill>
    <fill>
      <patternFill patternType="solid">
        <fgColor rgb="FFd1fae5"/>
      </patternFill>
    </fill>
    <fill>
      <patternFill patternType="solid">
        <fgColor rgb="FFecfccb"/>
      </patternFill>
    </fill>
    <fill>
      <patternFill patternType="solid">
        <fgColor rgb="FFffedd5"/>
      </patternFill>
    </fill>
    <fill>
      <patternFill patternType="solid">
        <fgColor rgb="FFfef3c7"/>
      </patternFill>
    </fill>
    <fill>
      <patternFill patternType="solid">
        <fgColor rgb="FFfae8ff"/>
      </patternFill>
    </fill>
    <fill>
      <patternFill patternType="solid">
        <fgColor rgb="FFe0e7ff"/>
      </patternFill>
    </fill>
    <fill>
      <patternFill patternType="solid">
        <fgColor rgb="FFfee2e2"/>
      </patternFill>
    </fill>
    <fill>
      <patternFill patternType="solid">
        <fgColor rgb="FFcffafe"/>
      </patternFill>
    </fill>
    <fill>
      <patternFill patternType="solid">
        <fgColor rgb="FFf3e8ff"/>
      </patternFill>
    </fill>
    <fill>
      <patternFill patternType="solid">
        <fgColor rgb="FFfff1f2"/>
      </patternFill>
    </fill>
    <fill>
      <patternFill patternType="solid">
        <fgColor rgb="FFf1f5f9"/>
      </patternFill>
    </fill>
    <fill>
      <patternFill patternType="solid">
        <fgColor rgb="FFe2e8f0"/>
      </patternFill>
    </fill>
    <fill>
      <patternFill patternType="solid">
        <fgColor rgb="FFf5f5f4"/>
      </patternFill>
    </fill>
    <fill>
      <patternFill patternType="solid">
        <fgColor rgb="FFB45309"/>
      </patternFill>
    </fill>
    <fill>
      <patternFill patternType="solid">
        <fgColor rgb="FF4D7C0F"/>
      </patternFill>
    </fill>
    <fill>
      <patternFill patternType="solid">
        <fgColor rgb="FF6D28D9"/>
      </patternFill>
    </fill>
    <fill>
      <patternFill patternType="solid">
        <fgColor rgb="FF991B1B"/>
      </patternFill>
    </fill>
  </fills>
  <borders count="2">
    <border>
      <left/>
      <right/>
      <top/>
      <bottom/>
      <diagonal/>
    </border>
    <border>
      <left style="hair">
        <color rgb="FFC5CCD6"/>
      </left>
      <right style="hair">
        <color rgb="FFC5CCD6"/>
      </right>
      <top style="hair">
        <color rgb="FFC5CCD6"/>
      </top>
      <bottom style="hair">
        <color rgb="FFC5CCD6"/>
      </bottom>
      <diagonal/>
    </border>
  </borders>
  <cellStyleXfs count="1">
    <xf numFmtId="0" fontId="0" fillId="0" borderId="0"/>
  </cellStyleXfs>
  <cellXfs count="112">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0" xfId="0" applyFont="1" applyFill="1"/>
    <xf numFmtId="0" fontId="3" fillId="0" borderId="0" xfId="0" applyFont="1"/>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8" borderId="0" xfId="0" applyFont="1" applyFill="1"/>
    <xf numFmtId="0" fontId="4" fillId="9" borderId="0" xfId="0" applyFont="1" applyFill="1"/>
    <xf numFmtId="0" fontId="4" fillId="10" borderId="0" xfId="0" applyFont="1" applyFill="1"/>
    <xf numFmtId="0" fontId="4" fillId="11" borderId="0" xfId="0" applyFont="1" applyFill="1"/>
    <xf numFmtId="0" fontId="4" fillId="12" borderId="0" xfId="0" applyFont="1" applyFill="1"/>
    <xf numFmtId="0" fontId="4" fillId="13" borderId="0" xfId="0" applyFont="1" applyFill="1"/>
    <xf numFmtId="0" fontId="4" fillId="14" borderId="0" xfId="0" applyFont="1" applyFill="1"/>
    <xf numFmtId="0" fontId="4" fillId="15" borderId="0" xfId="0" applyFont="1" applyFill="1"/>
    <xf numFmtId="0" fontId="4" fillId="16" borderId="0" xfId="0" applyFont="1" applyFill="1"/>
    <xf numFmtId="0" fontId="4" fillId="17" borderId="0" xfId="0" applyFont="1" applyFill="1"/>
    <xf numFmtId="0" fontId="5" fillId="0" borderId="0" xfId="0" applyFont="1"/>
    <xf numFmtId="0" fontId="6" fillId="18" borderId="0" xfId="0" applyFont="1" applyFill="1" applyAlignment="1">
      <alignment vertical="center" wrapText="1"/>
    </xf>
    <xf numFmtId="0" fontId="2" fillId="0" borderId="1" xfId="0" applyFont="1" applyBorder="1"/>
    <xf numFmtId="0" fontId="3" fillId="0" borderId="1" xfId="0" applyFont="1" applyBorder="1"/>
    <xf numFmtId="164" fontId="3" fillId="0" borderId="1" xfId="0" applyNumberFormat="1" applyFont="1" applyBorder="1" applyAlignment="1">
      <alignment horizontal="center"/>
    </xf>
    <xf numFmtId="164" fontId="2" fillId="0" borderId="1" xfId="0" applyNumberFormat="1" applyFont="1" applyBorder="1" applyAlignment="1">
      <alignment horizontal="center"/>
    </xf>
    <xf numFmtId="0" fontId="3" fillId="0" borderId="1" xfId="0" applyFont="1" applyBorder="1" applyAlignment="1">
      <alignment vertical="top" wrapText="1"/>
    </xf>
    <xf numFmtId="164" fontId="0" fillId="0" borderId="0" xfId="0" applyNumberFormat="1" applyAlignment="1">
      <alignment horizontal="center"/>
    </xf>
    <xf numFmtId="0" fontId="7" fillId="0" borderId="0" xfId="0" applyFont="1"/>
    <xf numFmtId="0" fontId="6" fillId="19" borderId="0" xfId="0" applyFont="1" applyFill="1" applyAlignment="1">
      <alignment vertical="center" wrapText="1"/>
    </xf>
    <xf numFmtId="0" fontId="3" fillId="0" borderId="1" xfId="0" applyFont="1" applyBorder="1" applyAlignment="1">
      <alignment horizontal="center"/>
    </xf>
    <xf numFmtId="0" fontId="8" fillId="0" borderId="0" xfId="0" applyFont="1"/>
    <xf numFmtId="0" fontId="4" fillId="2" borderId="0" xfId="0" applyFont="1" applyFill="1" applyAlignment="1">
      <alignment vertical="center"/>
    </xf>
    <xf numFmtId="0" fontId="0" fillId="0" borderId="0" xfId="0" applyAlignment="1">
      <alignment horizontal="center" vertical="center"/>
    </xf>
    <xf numFmtId="0" fontId="8" fillId="0" borderId="1" xfId="0" applyFont="1" applyBorder="1" applyAlignment="1">
      <alignment vertical="top" wrapText="1"/>
    </xf>
    <xf numFmtId="0" fontId="9" fillId="20" borderId="1" xfId="0" applyFont="1" applyFill="1" applyBorder="1" applyAlignment="1">
      <alignment vertical="top" wrapText="1"/>
    </xf>
    <xf numFmtId="0" fontId="0" fillId="0" borderId="1" xfId="0" applyBorder="1"/>
    <xf numFmtId="0" fontId="4" fillId="3" borderId="0" xfId="0" applyFont="1" applyFill="1" applyAlignment="1">
      <alignment vertical="center"/>
    </xf>
    <xf numFmtId="0" fontId="0" fillId="0" borderId="1" xfId="0" applyBorder="1" applyAlignment="1">
      <alignment vertical="top" wrapText="1"/>
    </xf>
    <xf numFmtId="0" fontId="9" fillId="21" borderId="1" xfId="0" applyFont="1" applyFill="1" applyBorder="1" applyAlignment="1">
      <alignment vertical="top" wrapText="1"/>
    </xf>
    <xf numFmtId="0" fontId="4" fillId="4" borderId="0" xfId="0" applyFont="1" applyFill="1" applyAlignment="1">
      <alignment vertical="center"/>
    </xf>
    <xf numFmtId="0" fontId="9" fillId="22" borderId="1" xfId="0" applyFont="1" applyFill="1" applyBorder="1" applyAlignment="1">
      <alignment vertical="top" wrapText="1"/>
    </xf>
    <xf numFmtId="0" fontId="4" fillId="5" borderId="0" xfId="0" applyFont="1" applyFill="1" applyAlignment="1">
      <alignment vertical="center"/>
    </xf>
    <xf numFmtId="0" fontId="9" fillId="23" borderId="1" xfId="0" applyFont="1" applyFill="1" applyBorder="1" applyAlignment="1">
      <alignment vertical="top" wrapText="1"/>
    </xf>
    <xf numFmtId="0" fontId="4" fillId="6" borderId="0" xfId="0" applyFont="1" applyFill="1" applyAlignment="1">
      <alignment vertical="center"/>
    </xf>
    <xf numFmtId="0" fontId="9" fillId="24" borderId="1" xfId="0" applyFont="1" applyFill="1" applyBorder="1" applyAlignment="1">
      <alignment vertical="top" wrapText="1"/>
    </xf>
    <xf numFmtId="0" fontId="4" fillId="7" borderId="0" xfId="0" applyFont="1" applyFill="1" applyAlignment="1">
      <alignment vertical="center"/>
    </xf>
    <xf numFmtId="0" fontId="9" fillId="25" borderId="1" xfId="0" applyFont="1" applyFill="1" applyBorder="1" applyAlignment="1">
      <alignment vertical="top" wrapText="1"/>
    </xf>
    <xf numFmtId="0" fontId="4" fillId="8" borderId="0" xfId="0" applyFont="1" applyFill="1" applyAlignment="1">
      <alignment vertical="center"/>
    </xf>
    <xf numFmtId="0" fontId="9" fillId="26" borderId="1" xfId="0" applyFont="1" applyFill="1" applyBorder="1" applyAlignment="1">
      <alignment vertical="top" wrapText="1"/>
    </xf>
    <xf numFmtId="0" fontId="4" fillId="9" borderId="0" xfId="0" applyFont="1" applyFill="1" applyAlignment="1">
      <alignment vertical="center"/>
    </xf>
    <xf numFmtId="0" fontId="9" fillId="27" borderId="1" xfId="0" applyFont="1" applyFill="1" applyBorder="1" applyAlignment="1">
      <alignment vertical="top" wrapText="1"/>
    </xf>
    <xf numFmtId="0" fontId="4" fillId="10" borderId="0" xfId="0" applyFont="1" applyFill="1" applyAlignment="1">
      <alignment vertical="center"/>
    </xf>
    <xf numFmtId="0" fontId="9" fillId="28" borderId="1" xfId="0" applyFont="1" applyFill="1" applyBorder="1" applyAlignment="1">
      <alignment vertical="top" wrapText="1"/>
    </xf>
    <xf numFmtId="0" fontId="4" fillId="11" borderId="0" xfId="0" applyFont="1" applyFill="1" applyAlignment="1">
      <alignment vertical="center"/>
    </xf>
    <xf numFmtId="0" fontId="9" fillId="29" borderId="1" xfId="0" applyFont="1" applyFill="1" applyBorder="1" applyAlignment="1">
      <alignment vertical="top" wrapText="1"/>
    </xf>
    <xf numFmtId="0" fontId="4" fillId="12" borderId="0" xfId="0" applyFont="1" applyFill="1" applyAlignment="1">
      <alignment vertical="center"/>
    </xf>
    <xf numFmtId="0" fontId="9" fillId="30" borderId="1" xfId="0" applyFont="1" applyFill="1" applyBorder="1" applyAlignment="1">
      <alignment vertical="top" wrapText="1"/>
    </xf>
    <xf numFmtId="0" fontId="4" fillId="13" borderId="0" xfId="0" applyFont="1" applyFill="1" applyAlignment="1">
      <alignment vertical="center"/>
    </xf>
    <xf numFmtId="0" fontId="9" fillId="31" borderId="1" xfId="0" applyFont="1" applyFill="1" applyBorder="1" applyAlignment="1">
      <alignment vertical="top" wrapText="1"/>
    </xf>
    <xf numFmtId="0" fontId="4" fillId="14" borderId="0" xfId="0" applyFont="1" applyFill="1" applyAlignment="1">
      <alignment vertical="center"/>
    </xf>
    <xf numFmtId="0" fontId="9" fillId="32" borderId="1" xfId="0" applyFont="1" applyFill="1" applyBorder="1" applyAlignment="1">
      <alignment vertical="top" wrapText="1"/>
    </xf>
    <xf numFmtId="0" fontId="4" fillId="15" borderId="0" xfId="0" applyFont="1" applyFill="1" applyAlignment="1">
      <alignment vertical="center"/>
    </xf>
    <xf numFmtId="0" fontId="9" fillId="33" borderId="1" xfId="0" applyFont="1" applyFill="1" applyBorder="1" applyAlignment="1">
      <alignment vertical="top" wrapText="1"/>
    </xf>
    <xf numFmtId="0" fontId="4" fillId="16" borderId="0" xfId="0" applyFont="1" applyFill="1" applyAlignment="1">
      <alignment vertical="center"/>
    </xf>
    <xf numFmtId="0" fontId="9" fillId="34" borderId="1" xfId="0" applyFont="1" applyFill="1" applyBorder="1" applyAlignment="1">
      <alignment vertical="top" wrapText="1"/>
    </xf>
    <xf numFmtId="0" fontId="4" fillId="17" borderId="0" xfId="0" applyFont="1" applyFill="1" applyAlignment="1">
      <alignment vertical="center"/>
    </xf>
    <xf numFmtId="0" fontId="9" fillId="35" borderId="1" xfId="0" applyFont="1" applyFill="1" applyBorder="1" applyAlignment="1">
      <alignment vertical="top" wrapText="1"/>
    </xf>
    <xf numFmtId="0" fontId="6" fillId="36" borderId="0" xfId="0" applyFont="1" applyFill="1" applyAlignment="1">
      <alignment vertical="center" wrapText="1"/>
    </xf>
    <xf numFmtId="0" fontId="9" fillId="0" borderId="1" xfId="0" applyFont="1" applyBorder="1"/>
    <xf numFmtId="0" fontId="9" fillId="0" borderId="1" xfId="0" applyFont="1" applyBorder="1" applyAlignment="1">
      <alignment vertical="top" wrapText="1"/>
    </xf>
    <xf numFmtId="164" fontId="9" fillId="0" borderId="1" xfId="0" applyNumberFormat="1" applyFont="1" applyBorder="1"/>
    <xf numFmtId="164" fontId="3" fillId="0" borderId="1" xfId="0" applyNumberFormat="1" applyFont="1" applyBorder="1"/>
    <xf numFmtId="0" fontId="6" fillId="37" borderId="0" xfId="0" applyFont="1" applyFill="1" applyAlignment="1">
      <alignment vertical="center" wrapText="1"/>
    </xf>
    <xf numFmtId="0" fontId="10" fillId="0" borderId="1" xfId="0" applyFont="1" applyBorder="1"/>
    <xf numFmtId="0" fontId="11" fillId="0" borderId="1" xfId="0" applyFont="1" applyBorder="1"/>
    <xf numFmtId="0" fontId="12" fillId="0" borderId="1" xfId="0" applyFont="1" applyBorder="1"/>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7" fillId="0" borderId="1" xfId="0" applyFont="1" applyBorder="1"/>
    <xf numFmtId="0" fontId="18" fillId="0" borderId="1" xfId="0" applyFont="1" applyBorder="1"/>
    <xf numFmtId="0" fontId="19" fillId="0" borderId="1" xfId="0" applyFont="1" applyBorder="1"/>
    <xf numFmtId="0" fontId="20" fillId="0" borderId="1" xfId="0" applyFont="1" applyBorder="1"/>
    <xf numFmtId="0" fontId="21" fillId="0" borderId="1" xfId="0" applyFont="1" applyBorder="1"/>
    <xf numFmtId="0" fontId="22" fillId="0" borderId="1" xfId="0" applyFont="1" applyBorder="1"/>
    <xf numFmtId="0" fontId="23" fillId="0" borderId="1" xfId="0" applyFont="1" applyBorder="1"/>
    <xf numFmtId="0" fontId="24" fillId="0" borderId="1" xfId="0" applyFont="1" applyBorder="1"/>
    <xf numFmtId="0" fontId="25" fillId="0" borderId="1" xfId="0" applyFont="1" applyBorder="1"/>
    <xf numFmtId="0" fontId="26" fillId="0" borderId="1" xfId="0" applyFont="1" applyBorder="1"/>
    <xf numFmtId="0" fontId="6" fillId="38" borderId="0" xfId="0" applyFont="1" applyFill="1" applyAlignment="1">
      <alignment vertical="center" wrapText="1"/>
    </xf>
    <xf numFmtId="0" fontId="4" fillId="2" borderId="1" xfId="0" applyFont="1" applyFill="1" applyBorder="1"/>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4" fillId="7" borderId="1" xfId="0" applyFont="1" applyFill="1" applyBorder="1"/>
    <xf numFmtId="0" fontId="4" fillId="8" borderId="1" xfId="0" applyFont="1" applyFill="1" applyBorder="1"/>
    <xf numFmtId="0" fontId="4" fillId="9" borderId="1" xfId="0" applyFont="1" applyFill="1" applyBorder="1"/>
    <xf numFmtId="0" fontId="4" fillId="10" borderId="1" xfId="0" applyFont="1" applyFill="1" applyBorder="1"/>
    <xf numFmtId="0" fontId="4" fillId="11" borderId="1" xfId="0" applyFont="1" applyFill="1" applyBorder="1"/>
    <xf numFmtId="0" fontId="4" fillId="12" borderId="1" xfId="0" applyFont="1" applyFill="1" applyBorder="1"/>
    <xf numFmtId="0" fontId="4" fillId="13" borderId="1" xfId="0" applyFont="1" applyFill="1" applyBorder="1"/>
    <xf numFmtId="0" fontId="4" fillId="14" borderId="1" xfId="0" applyFont="1" applyFill="1" applyBorder="1"/>
    <xf numFmtId="0" fontId="4" fillId="15" borderId="1" xfId="0" applyFont="1" applyFill="1" applyBorder="1"/>
    <xf numFmtId="0" fontId="4" fillId="16" borderId="1" xfId="0" applyFont="1" applyFill="1" applyBorder="1"/>
    <xf numFmtId="0" fontId="4" fillId="17" borderId="1" xfId="0" applyFont="1" applyFill="1" applyBorder="1"/>
    <xf numFmtId="0" fontId="27" fillId="0" borderId="0" xfId="0" applyFont="1"/>
    <xf numFmtId="0" fontId="6" fillId="39" borderId="0" xfId="0" applyFont="1" applyFill="1" applyAlignment="1">
      <alignment vertical="center"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330"/>
  </sheetPr>
  <dimension ref="B2:C29"/>
  <sheetViews>
    <sheetView workbookViewId="0" showGridLines="0"/>
  </sheetViews>
  <sheetFormatPr defaultRowHeight="15" outlineLevelRow="0" outlineLevelCol="0" x14ac:dyDescent="55"/>
  <cols>
    <col min="1" max="1" width="3" customWidth="1"/>
    <col min="2" max="2" width="30" customWidth="1"/>
    <col min="3" max="3" width="86" customWidth="1"/>
  </cols>
  <sheetData>
    <row r="2" spans="2:3" x14ac:dyDescent="0.25">
      <c r="B2" s="1" t="s">
        <v>0</v>
      </c>
      <c r="C2" s="1"/>
    </row>
    <row r="4" ht="28" customHeight="1" spans="2:3" x14ac:dyDescent="0.25">
      <c r="B4" s="2" t="s">
        <v>1</v>
      </c>
      <c r="C4" s="3" t="s">
        <v>2</v>
      </c>
    </row>
    <row r="5" ht="28" customHeight="1" spans="2:3" x14ac:dyDescent="0.25">
      <c r="B5" s="2" t="s">
        <v>3</v>
      </c>
      <c r="C5" s="3" t="s">
        <v>4</v>
      </c>
    </row>
    <row r="6" ht="42" customHeight="1" spans="2:3" x14ac:dyDescent="0.25">
      <c r="B6" s="2" t="s">
        <v>5</v>
      </c>
      <c r="C6" s="3" t="s">
        <v>6</v>
      </c>
    </row>
    <row r="7" ht="28" customHeight="1" spans="2:3" x14ac:dyDescent="0.25">
      <c r="B7" s="2" t="s">
        <v>7</v>
      </c>
      <c r="C7" s="3" t="s">
        <v>8</v>
      </c>
    </row>
    <row r="8" ht="42" customHeight="1" spans="2:3" x14ac:dyDescent="0.25">
      <c r="B8" s="2" t="s">
        <v>9</v>
      </c>
      <c r="C8" s="3" t="s">
        <v>10</v>
      </c>
    </row>
    <row r="9" ht="28" customHeight="1" spans="2:3" x14ac:dyDescent="0.25">
      <c r="B9" s="2" t="s">
        <v>11</v>
      </c>
      <c r="C9" s="3" t="s">
        <v>12</v>
      </c>
    </row>
    <row r="10" ht="28" customHeight="1" spans="2:3" x14ac:dyDescent="0.25">
      <c r="B10" s="2" t="s">
        <v>13</v>
      </c>
      <c r="C10" s="3" t="s">
        <v>14</v>
      </c>
    </row>
    <row r="11" ht="16" customHeight="1" spans="2:3" x14ac:dyDescent="0.25">
      <c r="B11" s="2" t="s">
        <v>15</v>
      </c>
      <c r="C11" s="3" t="s">
        <v>16</v>
      </c>
    </row>
    <row r="13" spans="2:2" x14ac:dyDescent="0.25">
      <c r="B13" s="2" t="s">
        <v>17</v>
      </c>
    </row>
    <row r="14" spans="2:3" x14ac:dyDescent="0.25">
      <c r="B14" s="4" t="s">
        <v>18</v>
      </c>
      <c r="C14" s="5" t="s">
        <v>19</v>
      </c>
    </row>
    <row r="15" spans="2:3" x14ac:dyDescent="0.25">
      <c r="B15" s="6" t="s">
        <v>20</v>
      </c>
      <c r="C15" s="5" t="s">
        <v>21</v>
      </c>
    </row>
    <row r="16" spans="2:3" x14ac:dyDescent="0.25">
      <c r="B16" s="7" t="s">
        <v>22</v>
      </c>
      <c r="C16" s="5" t="s">
        <v>23</v>
      </c>
    </row>
    <row r="17" spans="2:3" x14ac:dyDescent="0.25">
      <c r="B17" s="8" t="s">
        <v>24</v>
      </c>
      <c r="C17" s="5" t="s">
        <v>25</v>
      </c>
    </row>
    <row r="18" spans="2:3" x14ac:dyDescent="0.25">
      <c r="B18" s="9" t="s">
        <v>26</v>
      </c>
      <c r="C18" s="5" t="s">
        <v>27</v>
      </c>
    </row>
    <row r="19" spans="2:3" x14ac:dyDescent="0.25">
      <c r="B19" s="10" t="s">
        <v>28</v>
      </c>
      <c r="C19" s="5" t="s">
        <v>29</v>
      </c>
    </row>
    <row r="20" spans="2:3" x14ac:dyDescent="0.25">
      <c r="B20" s="11" t="s">
        <v>30</v>
      </c>
      <c r="C20" s="5" t="s">
        <v>31</v>
      </c>
    </row>
    <row r="21" spans="2:3" x14ac:dyDescent="0.25">
      <c r="B21" s="12" t="s">
        <v>32</v>
      </c>
      <c r="C21" s="5" t="s">
        <v>33</v>
      </c>
    </row>
    <row r="22" spans="2:3" x14ac:dyDescent="0.25">
      <c r="B22" s="13" t="s">
        <v>34</v>
      </c>
      <c r="C22" s="5" t="s">
        <v>35</v>
      </c>
    </row>
    <row r="23" spans="2:3" x14ac:dyDescent="0.25">
      <c r="B23" s="14" t="s">
        <v>36</v>
      </c>
      <c r="C23" s="5" t="s">
        <v>37</v>
      </c>
    </row>
    <row r="24" spans="2:3" x14ac:dyDescent="0.25">
      <c r="B24" s="15" t="s">
        <v>38</v>
      </c>
      <c r="C24" s="5" t="s">
        <v>39</v>
      </c>
    </row>
    <row r="25" spans="2:3" x14ac:dyDescent="0.25">
      <c r="B25" s="16" t="s">
        <v>40</v>
      </c>
      <c r="C25" s="5" t="s">
        <v>41</v>
      </c>
    </row>
    <row r="26" spans="2:3" x14ac:dyDescent="0.25">
      <c r="B26" s="17" t="s">
        <v>42</v>
      </c>
      <c r="C26" s="5" t="s">
        <v>43</v>
      </c>
    </row>
    <row r="27" spans="2:3" x14ac:dyDescent="0.25">
      <c r="B27" s="18" t="s">
        <v>44</v>
      </c>
      <c r="C27" s="5" t="s">
        <v>45</v>
      </c>
    </row>
    <row r="28" spans="2:3" x14ac:dyDescent="0.25">
      <c r="B28" s="19" t="s">
        <v>46</v>
      </c>
      <c r="C28" s="5" t="s">
        <v>47</v>
      </c>
    </row>
    <row r="29" spans="2:3" x14ac:dyDescent="0.25">
      <c r="B29" s="20" t="s">
        <v>48</v>
      </c>
      <c r="C29" s="5" t="s">
        <v>49</v>
      </c>
    </row>
  </sheetData>
  <mergeCells count="1">
    <mergeCell ref="B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sheetPr>
  <dimension ref="A1:H17"/>
  <sheetViews>
    <sheetView workbookViewId="0">
      <pane ySplit="2" topLeftCell="A3" activePane="bottomLeft" state="frozen"/>
      <selection pane="bottomLeft"/>
    </sheetView>
  </sheetViews>
  <sheetFormatPr defaultRowHeight="15" outlineLevelRow="0" outlineLevelCol="0" x14ac:dyDescent="55"/>
  <cols>
    <col min="1" max="1" width="12" customWidth="1"/>
    <col min="2" max="2" width="26" customWidth="1"/>
    <col min="3" max="5" width="13" customWidth="1"/>
    <col min="6" max="6" width="58" customWidth="1"/>
    <col min="7" max="7" width="16" customWidth="1"/>
    <col min="8" max="8" width="34" customWidth="1"/>
  </cols>
  <sheetData>
    <row r="1" spans="1:8" x14ac:dyDescent="0.25">
      <c r="A1" s="21" t="s">
        <v>50</v>
      </c>
      <c r="B1" s="21"/>
      <c r="C1" s="21"/>
      <c r="D1" s="21"/>
      <c r="E1" s="21"/>
      <c r="F1" s="21"/>
      <c r="G1" s="21"/>
      <c r="H1" s="21"/>
    </row>
    <row r="2" ht="26" customHeight="1" spans="1:8" x14ac:dyDescent="0.25">
      <c r="A2" s="22" t="s">
        <v>51</v>
      </c>
      <c r="B2" s="22" t="s">
        <v>52</v>
      </c>
      <c r="C2" s="22" t="s">
        <v>53</v>
      </c>
      <c r="D2" s="22" t="s">
        <v>54</v>
      </c>
      <c r="E2" s="22" t="s">
        <v>55</v>
      </c>
      <c r="F2" s="22" t="s">
        <v>56</v>
      </c>
      <c r="G2" s="22" t="s">
        <v>57</v>
      </c>
      <c r="H2" s="22" t="s">
        <v>58</v>
      </c>
    </row>
    <row r="3" ht="30" customHeight="1" spans="1:8" x14ac:dyDescent="0.25">
      <c r="A3" s="23" t="s">
        <v>59</v>
      </c>
      <c r="B3" s="24" t="s">
        <v>60</v>
      </c>
      <c r="C3" s="25">
        <v>46293.91666666667</v>
      </c>
      <c r="D3" s="25">
        <v>46296.91666666667</v>
      </c>
      <c r="E3" s="26">
        <v>46296.91666666667</v>
      </c>
      <c r="F3" s="27" t="s">
        <v>61</v>
      </c>
      <c r="G3" s="24" t="s">
        <v>62</v>
      </c>
      <c r="H3" s="24"/>
    </row>
    <row r="4" ht="30" customHeight="1" spans="1:8" x14ac:dyDescent="0.25">
      <c r="A4" s="23" t="s">
        <v>63</v>
      </c>
      <c r="B4" s="24" t="s">
        <v>64</v>
      </c>
      <c r="C4" s="25">
        <v>46299.91666666667</v>
      </c>
      <c r="D4" s="25">
        <v>46303.91666666667</v>
      </c>
      <c r="E4" s="26">
        <v>46303.91666666667</v>
      </c>
      <c r="F4" s="27" t="s">
        <v>65</v>
      </c>
      <c r="G4" s="24" t="s">
        <v>62</v>
      </c>
      <c r="H4" s="24"/>
    </row>
    <row r="5" ht="30" customHeight="1" spans="1:8" x14ac:dyDescent="0.25">
      <c r="A5" s="23" t="s">
        <v>66</v>
      </c>
      <c r="B5" s="24" t="s">
        <v>67</v>
      </c>
      <c r="C5" s="25">
        <v>46307.91666666667</v>
      </c>
      <c r="D5" s="25">
        <v>46310.91666666667</v>
      </c>
      <c r="E5" s="26">
        <v>46310.91666666667</v>
      </c>
      <c r="F5" s="27" t="s">
        <v>68</v>
      </c>
      <c r="G5" s="24" t="s">
        <v>62</v>
      </c>
      <c r="H5" s="24"/>
    </row>
    <row r="6" ht="30" customHeight="1" spans="1:8" x14ac:dyDescent="0.25">
      <c r="A6" s="23" t="s">
        <v>69</v>
      </c>
      <c r="B6" s="24" t="s">
        <v>70</v>
      </c>
      <c r="C6" s="25">
        <v>46313.91666666667</v>
      </c>
      <c r="D6" s="25">
        <v>46317.91666666667</v>
      </c>
      <c r="E6" s="26">
        <v>46317.91666666667</v>
      </c>
      <c r="F6" s="27" t="s">
        <v>71</v>
      </c>
      <c r="G6" s="24" t="s">
        <v>62</v>
      </c>
      <c r="H6" s="24"/>
    </row>
    <row r="7" spans="1:7" x14ac:dyDescent="0.25">
      <c r="A7" s="2" t="s">
        <v>72</v>
      </c>
      <c r="B7" t="s">
        <v>73</v>
      </c>
      <c r="C7" s="28">
        <v>46320.95833333333</v>
      </c>
      <c r="E7" s="28">
        <v>46320.95833333333</v>
      </c>
      <c r="F7" t="s">
        <v>74</v>
      </c>
      <c r="G7" t="s">
        <v>62</v>
      </c>
    </row>
    <row r="8" spans="7:7" x14ac:dyDescent="0.25"/>
    <row r="9" spans="1:7" x14ac:dyDescent="0.25">
      <c r="A9" s="29" t="s">
        <v>75</v>
      </c>
    </row>
    <row r="10" ht="26" customHeight="1" spans="1:8" x14ac:dyDescent="0.25">
      <c r="A10" s="30" t="s">
        <v>76</v>
      </c>
      <c r="B10" s="30" t="s">
        <v>77</v>
      </c>
      <c r="C10" s="30" t="s">
        <v>78</v>
      </c>
      <c r="D10" s="30" t="s">
        <v>79</v>
      </c>
      <c r="E10" s="30" t="s">
        <v>79</v>
      </c>
      <c r="F10" s="30" t="s">
        <v>80</v>
      </c>
      <c r="G10" s="30" t="s">
        <v>57</v>
      </c>
      <c r="H10" s="30" t="s">
        <v>81</v>
      </c>
    </row>
    <row r="11" ht="30" customHeight="1" spans="1:8" x14ac:dyDescent="0.25">
      <c r="A11" s="24" t="s">
        <v>82</v>
      </c>
      <c r="B11" s="24" t="s">
        <v>83</v>
      </c>
      <c r="C11" s="31" t="s">
        <v>84</v>
      </c>
      <c r="D11" s="24"/>
      <c r="E11" s="24"/>
      <c r="F11" s="27" t="s">
        <v>85</v>
      </c>
      <c r="G11" s="24" t="s">
        <v>62</v>
      </c>
      <c r="H11" s="24"/>
    </row>
    <row r="12" ht="30" customHeight="1" spans="1:8" x14ac:dyDescent="0.25">
      <c r="A12" s="24" t="s">
        <v>86</v>
      </c>
      <c r="B12" s="24" t="s">
        <v>87</v>
      </c>
      <c r="C12" s="31" t="s">
        <v>88</v>
      </c>
      <c r="D12" s="24"/>
      <c r="E12" s="24"/>
      <c r="F12" s="27" t="s">
        <v>89</v>
      </c>
      <c r="G12" s="24" t="s">
        <v>62</v>
      </c>
      <c r="H12" s="24"/>
    </row>
    <row r="13" ht="30" customHeight="1" spans="1:8" x14ac:dyDescent="0.25">
      <c r="A13" s="24" t="s">
        <v>90</v>
      </c>
      <c r="B13" s="24" t="s">
        <v>91</v>
      </c>
      <c r="C13" s="31" t="s">
        <v>92</v>
      </c>
      <c r="D13" s="24"/>
      <c r="E13" s="24"/>
      <c r="F13" s="27" t="s">
        <v>93</v>
      </c>
      <c r="G13" s="24" t="s">
        <v>62</v>
      </c>
      <c r="H13" s="24"/>
    </row>
    <row r="14" ht="30" customHeight="1" spans="1:8" x14ac:dyDescent="0.25">
      <c r="A14" s="24" t="s">
        <v>94</v>
      </c>
      <c r="B14" s="24" t="s">
        <v>95</v>
      </c>
      <c r="C14" s="31" t="s">
        <v>96</v>
      </c>
      <c r="D14" s="24"/>
      <c r="E14" s="24"/>
      <c r="F14" s="27" t="s">
        <v>97</v>
      </c>
      <c r="G14" s="24" t="s">
        <v>62</v>
      </c>
      <c r="H14" s="24"/>
    </row>
    <row r="15" ht="30" customHeight="1" spans="1:8" x14ac:dyDescent="0.25">
      <c r="A15" s="24" t="s">
        <v>98</v>
      </c>
      <c r="B15" s="24" t="s">
        <v>99</v>
      </c>
      <c r="C15" s="31" t="s">
        <v>92</v>
      </c>
      <c r="D15" s="24"/>
      <c r="E15" s="24"/>
      <c r="F15" s="27" t="s">
        <v>100</v>
      </c>
      <c r="G15" s="24" t="s">
        <v>62</v>
      </c>
      <c r="H15" s="24"/>
    </row>
    <row r="16" ht="30" customHeight="1" spans="1:8" x14ac:dyDescent="0.25">
      <c r="A16" s="24" t="s">
        <v>101</v>
      </c>
      <c r="B16" s="24" t="s">
        <v>102</v>
      </c>
      <c r="C16" s="31" t="s">
        <v>84</v>
      </c>
      <c r="D16" s="24"/>
      <c r="E16" s="24"/>
      <c r="F16" s="27" t="s">
        <v>103</v>
      </c>
      <c r="G16" s="24" t="s">
        <v>62</v>
      </c>
      <c r="H16" s="24"/>
    </row>
    <row r="17" spans="7:7" x14ac:dyDescent="0.25"/>
  </sheetData>
  <autoFilter ref="A2:H2"/>
  <mergeCells count="1">
    <mergeCell ref="A1:H1"/>
  </mergeCells>
  <dataValidations count="2">
    <dataValidation type="list" allowBlank="1" sqref="G10:G17">
      <formula1>"Pendiente,Empezada,Enviada,Revisada,No participa"</formula1>
    </dataValidation>
    <dataValidation type="list" allowBlank="1" sqref="G3:G17">
      <formula1>"Pendiente,Empezada,Enviada,Revisada,No participa"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369A1"/>
  </sheetPr>
  <dimension ref="A1:I20"/>
  <sheetViews>
    <sheetView workbookViewId="0">
      <pane xSplit="2" ySplit="3" topLeftCell="C4" activePane="bottomRight" state="frozen"/>
      <selection pane="bottomRight"/>
    </sheetView>
  </sheetViews>
  <sheetFormatPr defaultRowHeight="15" outlineLevelRow="0" outlineLevelCol="0" x14ac:dyDescent="55"/>
  <cols>
    <col min="1" max="1" width="24" customWidth="1"/>
    <col min="2" max="2" width="6" customWidth="1"/>
    <col min="3" max="8" width="30" customWidth="1"/>
    <col min="9" max="9" width="26" customWidth="1"/>
  </cols>
  <sheetData>
    <row r="1" spans="1:9" x14ac:dyDescent="0.25">
      <c r="A1" s="21" t="s">
        <v>104</v>
      </c>
      <c r="B1" s="21"/>
      <c r="C1" s="21"/>
      <c r="D1" s="21"/>
      <c r="E1" s="21"/>
      <c r="F1" s="21"/>
      <c r="G1" s="21"/>
      <c r="H1" s="21"/>
      <c r="I1" s="21"/>
    </row>
    <row r="2" spans="1:9" x14ac:dyDescent="0.25">
      <c r="A2" s="32" t="s">
        <v>105</v>
      </c>
      <c r="B2" s="32"/>
      <c r="C2" s="32"/>
      <c r="D2" s="32"/>
      <c r="E2" s="32"/>
      <c r="F2" s="32"/>
      <c r="G2" s="32"/>
      <c r="H2" s="32"/>
      <c r="I2" s="32"/>
    </row>
    <row r="3" ht="26" customHeight="1" spans="1:9" x14ac:dyDescent="0.25">
      <c r="A3" s="22" t="s">
        <v>106</v>
      </c>
      <c r="B3" s="22" t="s">
        <v>79</v>
      </c>
      <c r="C3" s="22" t="s">
        <v>107</v>
      </c>
      <c r="D3" s="22" t="s">
        <v>108</v>
      </c>
      <c r="E3" s="22" t="s">
        <v>109</v>
      </c>
      <c r="F3" s="22" t="s">
        <v>110</v>
      </c>
      <c r="G3" s="22" t="s">
        <v>111</v>
      </c>
      <c r="H3" s="22" t="s">
        <v>112</v>
      </c>
      <c r="I3" s="22" t="s">
        <v>113</v>
      </c>
    </row>
    <row r="4" ht="34" customHeight="1" spans="1:9" x14ac:dyDescent="0.25">
      <c r="A4" s="33" t="s">
        <v>114</v>
      </c>
      <c r="B4" s="34" t="s">
        <v>115</v>
      </c>
      <c r="C4" s="35" t="s">
        <v>116</v>
      </c>
      <c r="D4" s="36" t="s">
        <v>117</v>
      </c>
      <c r="E4" s="35" t="s">
        <v>118</v>
      </c>
      <c r="F4" s="35" t="s">
        <v>119</v>
      </c>
      <c r="G4" s="36" t="s">
        <v>120</v>
      </c>
      <c r="H4" s="35" t="s">
        <v>121</v>
      </c>
      <c r="I4" s="37"/>
    </row>
    <row r="5" ht="34" customHeight="1" spans="1:9" x14ac:dyDescent="0.25">
      <c r="A5" s="38" t="s">
        <v>122</v>
      </c>
      <c r="B5" s="34" t="s">
        <v>123</v>
      </c>
      <c r="C5" s="39"/>
      <c r="D5" s="40" t="s">
        <v>124</v>
      </c>
      <c r="E5" s="39"/>
      <c r="F5" s="39"/>
      <c r="G5" s="39"/>
      <c r="H5" s="40" t="s">
        <v>125</v>
      </c>
      <c r="I5" s="37"/>
    </row>
    <row r="6" ht="34" customHeight="1" spans="1:9" x14ac:dyDescent="0.25">
      <c r="A6" s="41" t="s">
        <v>126</v>
      </c>
      <c r="B6" s="34" t="s">
        <v>127</v>
      </c>
      <c r="C6" s="42" t="s">
        <v>128</v>
      </c>
      <c r="D6" s="39"/>
      <c r="E6" s="39"/>
      <c r="F6" s="42" t="s">
        <v>129</v>
      </c>
      <c r="G6" s="39"/>
      <c r="H6" s="39"/>
      <c r="I6" s="37"/>
    </row>
    <row r="7" ht="34" customHeight="1" spans="1:9" x14ac:dyDescent="0.25">
      <c r="A7" s="43" t="s">
        <v>130</v>
      </c>
      <c r="B7" s="34" t="s">
        <v>131</v>
      </c>
      <c r="C7" s="44" t="s">
        <v>132</v>
      </c>
      <c r="D7" s="39"/>
      <c r="E7" s="39"/>
      <c r="F7" s="39"/>
      <c r="G7" s="39"/>
      <c r="H7" s="44" t="s">
        <v>133</v>
      </c>
      <c r="I7" s="37"/>
    </row>
    <row r="8" ht="34" customHeight="1" spans="1:9" x14ac:dyDescent="0.25">
      <c r="A8" s="45" t="s">
        <v>134</v>
      </c>
      <c r="B8" s="34" t="s">
        <v>135</v>
      </c>
      <c r="C8" s="46" t="s">
        <v>136</v>
      </c>
      <c r="D8" s="39"/>
      <c r="E8" s="39"/>
      <c r="F8" s="39"/>
      <c r="G8" s="46" t="s">
        <v>137</v>
      </c>
      <c r="H8" s="39"/>
      <c r="I8" s="37"/>
    </row>
    <row r="9" ht="34" customHeight="1" spans="1:9" x14ac:dyDescent="0.25">
      <c r="A9" s="47" t="s">
        <v>138</v>
      </c>
      <c r="B9" s="34" t="s">
        <v>139</v>
      </c>
      <c r="C9" s="48" t="s">
        <v>140</v>
      </c>
      <c r="D9" s="39"/>
      <c r="E9" s="39"/>
      <c r="F9" s="48" t="s">
        <v>141</v>
      </c>
      <c r="G9" s="39"/>
      <c r="H9" s="39"/>
      <c r="I9" s="37"/>
    </row>
    <row r="10" ht="34" customHeight="1" spans="1:9" x14ac:dyDescent="0.25">
      <c r="A10" s="49" t="s">
        <v>142</v>
      </c>
      <c r="B10" s="34" t="s">
        <v>143</v>
      </c>
      <c r="C10" s="50" t="s">
        <v>144</v>
      </c>
      <c r="D10" s="39"/>
      <c r="E10" s="50" t="s">
        <v>145</v>
      </c>
      <c r="F10" s="39"/>
      <c r="G10" s="39"/>
      <c r="H10" s="39"/>
      <c r="I10" s="37"/>
    </row>
    <row r="11" ht="34" customHeight="1" spans="1:9" x14ac:dyDescent="0.25">
      <c r="A11" s="51" t="s">
        <v>146</v>
      </c>
      <c r="B11" s="34" t="s">
        <v>147</v>
      </c>
      <c r="C11" s="39"/>
      <c r="D11" s="39"/>
      <c r="E11" s="52" t="s">
        <v>148</v>
      </c>
      <c r="F11" s="52" t="s">
        <v>149</v>
      </c>
      <c r="G11" s="39"/>
      <c r="H11" s="39"/>
      <c r="I11" s="37"/>
    </row>
    <row r="12" ht="34" customHeight="1" spans="1:9" x14ac:dyDescent="0.25">
      <c r="A12" s="53" t="s">
        <v>150</v>
      </c>
      <c r="B12" s="34" t="s">
        <v>151</v>
      </c>
      <c r="C12" s="39"/>
      <c r="D12" s="54" t="s">
        <v>152</v>
      </c>
      <c r="E12" s="39"/>
      <c r="F12" s="39"/>
      <c r="G12" s="54" t="s">
        <v>153</v>
      </c>
      <c r="H12" s="39"/>
      <c r="I12" s="37"/>
    </row>
    <row r="13" ht="34" customHeight="1" spans="1:9" x14ac:dyDescent="0.25">
      <c r="A13" s="55" t="s">
        <v>154</v>
      </c>
      <c r="B13" s="34" t="s">
        <v>155</v>
      </c>
      <c r="C13" s="56" t="s">
        <v>156</v>
      </c>
      <c r="D13" s="39"/>
      <c r="E13" s="56" t="s">
        <v>157</v>
      </c>
      <c r="F13" s="39"/>
      <c r="G13" s="39"/>
      <c r="H13" s="39"/>
      <c r="I13" s="37"/>
    </row>
    <row r="14" ht="34" customHeight="1" spans="1:9" x14ac:dyDescent="0.25">
      <c r="A14" s="57" t="s">
        <v>158</v>
      </c>
      <c r="B14" s="34" t="s">
        <v>159</v>
      </c>
      <c r="C14" s="39"/>
      <c r="D14" s="39"/>
      <c r="E14" s="58" t="s">
        <v>160</v>
      </c>
      <c r="F14" s="39"/>
      <c r="G14" s="39"/>
      <c r="H14" s="58" t="s">
        <v>161</v>
      </c>
      <c r="I14" s="37"/>
    </row>
    <row r="15" ht="34" customHeight="1" spans="1:9" x14ac:dyDescent="0.25">
      <c r="A15" s="59" t="s">
        <v>162</v>
      </c>
      <c r="B15" s="34" t="s">
        <v>163</v>
      </c>
      <c r="C15" s="60" t="s">
        <v>164</v>
      </c>
      <c r="D15" s="39"/>
      <c r="E15" s="39"/>
      <c r="F15" s="60" t="s">
        <v>165</v>
      </c>
      <c r="G15" s="39"/>
      <c r="H15" s="39"/>
      <c r="I15" s="37"/>
    </row>
    <row r="16" ht="34" customHeight="1" spans="1:9" x14ac:dyDescent="0.25">
      <c r="A16" s="61" t="s">
        <v>166</v>
      </c>
      <c r="B16" s="34" t="s">
        <v>167</v>
      </c>
      <c r="C16" s="62" t="s">
        <v>168</v>
      </c>
      <c r="D16" s="39"/>
      <c r="E16" s="62" t="s">
        <v>169</v>
      </c>
      <c r="F16" s="39"/>
      <c r="G16" s="39"/>
      <c r="H16" s="39"/>
      <c r="I16" s="37"/>
    </row>
    <row r="17" ht="34" customHeight="1" spans="1:9" x14ac:dyDescent="0.25">
      <c r="A17" s="63" t="s">
        <v>170</v>
      </c>
      <c r="B17" s="34" t="s">
        <v>171</v>
      </c>
      <c r="C17" s="39"/>
      <c r="D17" s="39"/>
      <c r="E17" s="64" t="s">
        <v>172</v>
      </c>
      <c r="F17" s="39"/>
      <c r="G17" s="39"/>
      <c r="H17" s="64" t="s">
        <v>173</v>
      </c>
      <c r="I17" s="37"/>
    </row>
    <row r="18" ht="34" customHeight="1" spans="1:9" x14ac:dyDescent="0.25">
      <c r="A18" s="65" t="s">
        <v>174</v>
      </c>
      <c r="B18" s="34" t="s">
        <v>175</v>
      </c>
      <c r="C18" s="39"/>
      <c r="D18" s="39"/>
      <c r="E18" s="66" t="s">
        <v>176</v>
      </c>
      <c r="F18" s="39"/>
      <c r="G18" s="39"/>
      <c r="H18" s="66" t="s">
        <v>177</v>
      </c>
      <c r="I18" s="37"/>
    </row>
    <row r="19" ht="34" customHeight="1" spans="1:9" x14ac:dyDescent="0.25">
      <c r="A19" s="67" t="s">
        <v>178</v>
      </c>
      <c r="B19" s="34" t="s">
        <v>179</v>
      </c>
      <c r="C19" s="68" t="s">
        <v>180</v>
      </c>
      <c r="D19" s="39"/>
      <c r="E19" s="39"/>
      <c r="F19" s="39"/>
      <c r="G19" s="39"/>
      <c r="H19" s="68" t="s">
        <v>181</v>
      </c>
      <c r="I19" s="37"/>
    </row>
    <row r="20" spans="1:9" x14ac:dyDescent="0.25">
      <c r="A20" s="2" t="s">
        <v>182</v>
      </c>
      <c r="C20" s="32" t="s">
        <v>183</v>
      </c>
      <c r="D20" s="32"/>
      <c r="E20" s="32"/>
      <c r="F20" s="32"/>
      <c r="G20" s="32"/>
      <c r="H20" s="32"/>
      <c r="I20" s="32"/>
    </row>
  </sheetData>
  <mergeCells count="3">
    <mergeCell ref="A1:I1"/>
    <mergeCell ref="A2:I2"/>
    <mergeCell ref="C20:I2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sheetPr>
  <dimension ref="A1:S160"/>
  <sheetViews>
    <sheetView workbookViewId="0">
      <pane xSplit="1" ySplit="2" topLeftCell="B3" activePane="bottomRight" state="frozen"/>
      <selection pane="bottomRight"/>
    </sheetView>
  </sheetViews>
  <sheetFormatPr defaultRowHeight="15" outlineLevelRow="0" outlineLevelCol="0" x14ac:dyDescent="55"/>
  <cols>
    <col min="1" max="1" width="22" customWidth="1"/>
    <col min="2" max="2" width="5" customWidth="1"/>
    <col min="3" max="3" width="10" customWidth="1"/>
    <col min="4" max="4" width="18" customWidth="1"/>
    <col min="5" max="5" width="46" customWidth="1"/>
    <col min="6" max="6" width="13" customWidth="1"/>
    <col min="7" max="7" width="52" customWidth="1"/>
    <col min="8" max="8" width="13" customWidth="1"/>
    <col min="9" max="9" width="52" customWidth="1"/>
    <col min="10" max="10" width="22" customWidth="1"/>
    <col min="11" max="11" width="32" customWidth="1"/>
    <col min="12" max="12" width="18" customWidth="1"/>
    <col min="13" max="14" width="7" customWidth="1"/>
    <col min="15" max="16" width="18" customWidth="1"/>
    <col min="17" max="17" width="16" customWidth="1"/>
    <col min="18" max="18" width="14" customWidth="1"/>
    <col min="19" max="19" width="30" customWidth="1"/>
  </cols>
  <sheetData>
    <row r="1" spans="1:19" x14ac:dyDescent="0.25">
      <c r="A1" s="21" t="s">
        <v>184</v>
      </c>
      <c r="B1" s="21"/>
      <c r="C1" s="21"/>
      <c r="D1" s="21"/>
      <c r="E1" s="21"/>
      <c r="F1" s="21"/>
      <c r="G1" s="21"/>
      <c r="H1" s="21"/>
      <c r="I1" s="21"/>
      <c r="J1" s="21"/>
      <c r="K1" s="21"/>
      <c r="L1" s="21"/>
      <c r="M1" s="21"/>
      <c r="N1" s="21"/>
      <c r="O1" s="21"/>
      <c r="P1" s="21"/>
      <c r="Q1" s="21"/>
      <c r="R1" s="21"/>
      <c r="S1" s="21"/>
    </row>
    <row r="2" ht="26" customHeight="1" spans="1:19" x14ac:dyDescent="0.25">
      <c r="A2" s="69" t="s">
        <v>106</v>
      </c>
      <c r="B2" s="69" t="s">
        <v>79</v>
      </c>
      <c r="C2" s="69" t="s">
        <v>51</v>
      </c>
      <c r="D2" s="69" t="s">
        <v>185</v>
      </c>
      <c r="E2" s="69" t="s">
        <v>186</v>
      </c>
      <c r="F2" s="69" t="s">
        <v>187</v>
      </c>
      <c r="G2" s="69" t="s">
        <v>188</v>
      </c>
      <c r="H2" s="69" t="s">
        <v>189</v>
      </c>
      <c r="I2" s="69" t="s">
        <v>190</v>
      </c>
      <c r="J2" s="69" t="s">
        <v>191</v>
      </c>
      <c r="K2" s="69" t="s">
        <v>192</v>
      </c>
      <c r="L2" s="69" t="s">
        <v>193</v>
      </c>
      <c r="M2" s="69" t="s">
        <v>194</v>
      </c>
      <c r="N2" s="69" t="s">
        <v>195</v>
      </c>
      <c r="O2" s="69" t="s">
        <v>196</v>
      </c>
      <c r="P2" s="69" t="s">
        <v>197</v>
      </c>
      <c r="Q2" s="69" t="s">
        <v>198</v>
      </c>
      <c r="R2" s="69" t="s">
        <v>57</v>
      </c>
      <c r="S2" s="69" t="s">
        <v>199</v>
      </c>
    </row>
    <row r="3" ht="30" customHeight="1" spans="1:19" x14ac:dyDescent="0.25">
      <c r="A3" s="70" t="s">
        <v>114</v>
      </c>
      <c r="B3" s="70">
        <f>IFERROR(INDEX(Materias!$C$3:$C$18,MATCH($A3,Materias!$B$3:$B$18,0)),"")</f>
      </c>
      <c r="C3" s="70" t="s">
        <v>63</v>
      </c>
      <c r="D3" s="70" t="s">
        <v>200</v>
      </c>
      <c r="E3" s="71" t="s">
        <v>201</v>
      </c>
      <c r="F3" s="70" t="s">
        <v>202</v>
      </c>
      <c r="G3" s="71">
        <f>IFERROR(INDEX(Criterios!$H$3:$H$302,MATCH($F3,Criterios!$C$3:$C$302,0)),"")</f>
      </c>
      <c r="H3" s="70" t="s">
        <v>203</v>
      </c>
      <c r="I3" s="71">
        <f>IFERROR(INDEX(Criterios!$H$3:$H$302,MATCH($H3,Criterios!$C$3:$C$302,0)),"")</f>
      </c>
      <c r="J3" s="70" t="s">
        <v>204</v>
      </c>
      <c r="K3" s="71" t="s">
        <v>205</v>
      </c>
      <c r="L3" s="70" t="s">
        <v>206</v>
      </c>
      <c r="M3" s="70">
        <v>4</v>
      </c>
      <c r="N3" s="70">
        <v>55</v>
      </c>
      <c r="O3" s="70" t="s">
        <v>142</v>
      </c>
      <c r="P3" s="70" t="s">
        <v>122</v>
      </c>
      <c r="Q3" s="72">
        <v>46338.95833333333</v>
      </c>
      <c r="R3" s="70" t="s">
        <v>207</v>
      </c>
      <c r="S3" s="70"/>
    </row>
    <row r="4" spans="1:19" x14ac:dyDescent="0.25">
      <c r="A4" s="24"/>
      <c r="B4" s="24">
        <f>IFERROR(INDEX(Materias!$C$3:$C$18,MATCH($A4,Materias!$B$3:$B$18,0)),"")</f>
      </c>
      <c r="C4" s="24"/>
      <c r="D4" s="24"/>
      <c r="E4" s="27"/>
      <c r="F4" s="24"/>
      <c r="G4" s="27">
        <f>IFERROR(INDEX(Criterios!$H$3:$H$302,MATCH($F4,Criterios!$C$3:$C$302,0)),"")</f>
      </c>
      <c r="H4" s="24"/>
      <c r="I4" s="27">
        <f>IFERROR(INDEX(Criterios!$H$3:$H$302,MATCH($H4,Criterios!$C$3:$C$302,0)),"")</f>
      </c>
      <c r="J4" s="24"/>
      <c r="K4" s="27"/>
      <c r="L4" s="24"/>
      <c r="M4" s="24"/>
      <c r="N4" s="24"/>
      <c r="O4" s="24"/>
      <c r="P4" s="24"/>
      <c r="Q4" s="73"/>
      <c r="R4" s="24"/>
      <c r="S4" s="24"/>
    </row>
    <row r="5" spans="1:19" x14ac:dyDescent="0.25">
      <c r="A5" s="24"/>
      <c r="B5" s="24">
        <f>IFERROR(INDEX(Materias!$C$3:$C$18,MATCH($A5,Materias!$B$3:$B$18,0)),"")</f>
      </c>
      <c r="C5" s="24"/>
      <c r="D5" s="24"/>
      <c r="E5" s="27"/>
      <c r="F5" s="24"/>
      <c r="G5" s="27">
        <f>IFERROR(INDEX(Criterios!$H$3:$H$302,MATCH($F5,Criterios!$C$3:$C$302,0)),"")</f>
      </c>
      <c r="H5" s="24"/>
      <c r="I5" s="27">
        <f>IFERROR(INDEX(Criterios!$H$3:$H$302,MATCH($H5,Criterios!$C$3:$C$302,0)),"")</f>
      </c>
      <c r="J5" s="24"/>
      <c r="K5" s="27"/>
      <c r="L5" s="24"/>
      <c r="M5" s="24"/>
      <c r="N5" s="24"/>
      <c r="O5" s="24"/>
      <c r="P5" s="24"/>
      <c r="Q5" s="73"/>
      <c r="R5" s="24"/>
      <c r="S5" s="24"/>
    </row>
    <row r="6" spans="1:19" x14ac:dyDescent="0.25">
      <c r="A6" s="24"/>
      <c r="B6" s="24">
        <f>IFERROR(INDEX(Materias!$C$3:$C$18,MATCH($A6,Materias!$B$3:$B$18,0)),"")</f>
      </c>
      <c r="C6" s="24"/>
      <c r="D6" s="24"/>
      <c r="E6" s="27"/>
      <c r="F6" s="24"/>
      <c r="G6" s="27">
        <f>IFERROR(INDEX(Criterios!$H$3:$H$302,MATCH($F6,Criterios!$C$3:$C$302,0)),"")</f>
      </c>
      <c r="H6" s="24"/>
      <c r="I6" s="27">
        <f>IFERROR(INDEX(Criterios!$H$3:$H$302,MATCH($H6,Criterios!$C$3:$C$302,0)),"")</f>
      </c>
      <c r="J6" s="24"/>
      <c r="K6" s="27"/>
      <c r="L6" s="24"/>
      <c r="M6" s="24"/>
      <c r="N6" s="24"/>
      <c r="O6" s="24"/>
      <c r="P6" s="24"/>
      <c r="Q6" s="73"/>
      <c r="R6" s="24"/>
      <c r="S6" s="24"/>
    </row>
    <row r="7" spans="1:19" x14ac:dyDescent="0.25">
      <c r="A7" s="24"/>
      <c r="B7" s="24">
        <f>IFERROR(INDEX(Materias!$C$3:$C$18,MATCH($A7,Materias!$B$3:$B$18,0)),"")</f>
      </c>
      <c r="C7" s="24"/>
      <c r="D7" s="24"/>
      <c r="E7" s="27"/>
      <c r="F7" s="24"/>
      <c r="G7" s="27">
        <f>IFERROR(INDEX(Criterios!$H$3:$H$302,MATCH($F7,Criterios!$C$3:$C$302,0)),"")</f>
      </c>
      <c r="H7" s="24"/>
      <c r="I7" s="27">
        <f>IFERROR(INDEX(Criterios!$H$3:$H$302,MATCH($H7,Criterios!$C$3:$C$302,0)),"")</f>
      </c>
      <c r="J7" s="24"/>
      <c r="K7" s="27"/>
      <c r="L7" s="24"/>
      <c r="M7" s="24"/>
      <c r="N7" s="24"/>
      <c r="O7" s="24"/>
      <c r="P7" s="24"/>
      <c r="Q7" s="73"/>
      <c r="R7" s="24"/>
      <c r="S7" s="24"/>
    </row>
    <row r="8" spans="1:19" x14ac:dyDescent="0.25">
      <c r="A8" s="24"/>
      <c r="B8" s="24">
        <f>IFERROR(INDEX(Materias!$C$3:$C$18,MATCH($A8,Materias!$B$3:$B$18,0)),"")</f>
      </c>
      <c r="C8" s="24"/>
      <c r="D8" s="24"/>
      <c r="E8" s="27"/>
      <c r="F8" s="24"/>
      <c r="G8" s="27">
        <f>IFERROR(INDEX(Criterios!$H$3:$H$302,MATCH($F8,Criterios!$C$3:$C$302,0)),"")</f>
      </c>
      <c r="H8" s="24"/>
      <c r="I8" s="27">
        <f>IFERROR(INDEX(Criterios!$H$3:$H$302,MATCH($H8,Criterios!$C$3:$C$302,0)),"")</f>
      </c>
      <c r="J8" s="24"/>
      <c r="K8" s="27"/>
      <c r="L8" s="24"/>
      <c r="M8" s="24"/>
      <c r="N8" s="24"/>
      <c r="O8" s="24"/>
      <c r="P8" s="24"/>
      <c r="Q8" s="73"/>
      <c r="R8" s="24"/>
      <c r="S8" s="24"/>
    </row>
    <row r="9" spans="1:19" x14ac:dyDescent="0.25">
      <c r="A9" s="24"/>
      <c r="B9" s="24">
        <f>IFERROR(INDEX(Materias!$C$3:$C$18,MATCH($A9,Materias!$B$3:$B$18,0)),"")</f>
      </c>
      <c r="C9" s="24"/>
      <c r="D9" s="24"/>
      <c r="E9" s="27"/>
      <c r="F9" s="24"/>
      <c r="G9" s="27">
        <f>IFERROR(INDEX(Criterios!$H$3:$H$302,MATCH($F9,Criterios!$C$3:$C$302,0)),"")</f>
      </c>
      <c r="H9" s="24"/>
      <c r="I9" s="27">
        <f>IFERROR(INDEX(Criterios!$H$3:$H$302,MATCH($H9,Criterios!$C$3:$C$302,0)),"")</f>
      </c>
      <c r="J9" s="24"/>
      <c r="K9" s="27"/>
      <c r="L9" s="24"/>
      <c r="M9" s="24"/>
      <c r="N9" s="24"/>
      <c r="O9" s="24"/>
      <c r="P9" s="24"/>
      <c r="Q9" s="73"/>
      <c r="R9" s="24"/>
      <c r="S9" s="24"/>
    </row>
    <row r="10" spans="1:19" x14ac:dyDescent="0.25">
      <c r="A10" s="24"/>
      <c r="B10" s="24">
        <f>IFERROR(INDEX(Materias!$C$3:$C$18,MATCH($A10,Materias!$B$3:$B$18,0)),"")</f>
      </c>
      <c r="C10" s="24"/>
      <c r="D10" s="24"/>
      <c r="E10" s="27"/>
      <c r="F10" s="24"/>
      <c r="G10" s="27">
        <f>IFERROR(INDEX(Criterios!$H$3:$H$302,MATCH($F10,Criterios!$C$3:$C$302,0)),"")</f>
      </c>
      <c r="H10" s="24"/>
      <c r="I10" s="27">
        <f>IFERROR(INDEX(Criterios!$H$3:$H$302,MATCH($H10,Criterios!$C$3:$C$302,0)),"")</f>
      </c>
      <c r="J10" s="24"/>
      <c r="K10" s="27"/>
      <c r="L10" s="24"/>
      <c r="M10" s="24"/>
      <c r="N10" s="24"/>
      <c r="O10" s="24"/>
      <c r="P10" s="24"/>
      <c r="Q10" s="73"/>
      <c r="R10" s="24"/>
      <c r="S10" s="24"/>
    </row>
    <row r="11" spans="1:19" x14ac:dyDescent="0.25">
      <c r="A11" s="24"/>
      <c r="B11" s="24">
        <f>IFERROR(INDEX(Materias!$C$3:$C$18,MATCH($A11,Materias!$B$3:$B$18,0)),"")</f>
      </c>
      <c r="C11" s="24"/>
      <c r="D11" s="24"/>
      <c r="E11" s="27"/>
      <c r="F11" s="24"/>
      <c r="G11" s="27">
        <f>IFERROR(INDEX(Criterios!$H$3:$H$302,MATCH($F11,Criterios!$C$3:$C$302,0)),"")</f>
      </c>
      <c r="H11" s="24"/>
      <c r="I11" s="27">
        <f>IFERROR(INDEX(Criterios!$H$3:$H$302,MATCH($H11,Criterios!$C$3:$C$302,0)),"")</f>
      </c>
      <c r="J11" s="24"/>
      <c r="K11" s="27"/>
      <c r="L11" s="24"/>
      <c r="M11" s="24"/>
      <c r="N11" s="24"/>
      <c r="O11" s="24"/>
      <c r="P11" s="24"/>
      <c r="Q11" s="73"/>
      <c r="R11" s="24"/>
      <c r="S11" s="24"/>
    </row>
    <row r="12" spans="1:19" x14ac:dyDescent="0.25">
      <c r="A12" s="24"/>
      <c r="B12" s="24">
        <f>IFERROR(INDEX(Materias!$C$3:$C$18,MATCH($A12,Materias!$B$3:$B$18,0)),"")</f>
      </c>
      <c r="C12" s="24"/>
      <c r="D12" s="24"/>
      <c r="E12" s="27"/>
      <c r="F12" s="24"/>
      <c r="G12" s="27">
        <f>IFERROR(INDEX(Criterios!$H$3:$H$302,MATCH($F12,Criterios!$C$3:$C$302,0)),"")</f>
      </c>
      <c r="H12" s="24"/>
      <c r="I12" s="27">
        <f>IFERROR(INDEX(Criterios!$H$3:$H$302,MATCH($H12,Criterios!$C$3:$C$302,0)),"")</f>
      </c>
      <c r="J12" s="24"/>
      <c r="K12" s="27"/>
      <c r="L12" s="24"/>
      <c r="M12" s="24"/>
      <c r="N12" s="24"/>
      <c r="O12" s="24"/>
      <c r="P12" s="24"/>
      <c r="Q12" s="73"/>
      <c r="R12" s="24"/>
      <c r="S12" s="24"/>
    </row>
    <row r="13" spans="1:19" x14ac:dyDescent="0.25">
      <c r="A13" s="24"/>
      <c r="B13" s="24">
        <f>IFERROR(INDEX(Materias!$C$3:$C$18,MATCH($A13,Materias!$B$3:$B$18,0)),"")</f>
      </c>
      <c r="C13" s="24"/>
      <c r="D13" s="24"/>
      <c r="E13" s="27"/>
      <c r="F13" s="24"/>
      <c r="G13" s="27">
        <f>IFERROR(INDEX(Criterios!$H$3:$H$302,MATCH($F13,Criterios!$C$3:$C$302,0)),"")</f>
      </c>
      <c r="H13" s="24"/>
      <c r="I13" s="27">
        <f>IFERROR(INDEX(Criterios!$H$3:$H$302,MATCH($H13,Criterios!$C$3:$C$302,0)),"")</f>
      </c>
      <c r="J13" s="24"/>
      <c r="K13" s="27"/>
      <c r="L13" s="24"/>
      <c r="M13" s="24"/>
      <c r="N13" s="24"/>
      <c r="O13" s="24"/>
      <c r="P13" s="24"/>
      <c r="Q13" s="73"/>
      <c r="R13" s="24"/>
      <c r="S13" s="24"/>
    </row>
    <row r="14" spans="1:19" x14ac:dyDescent="0.25">
      <c r="A14" s="24"/>
      <c r="B14" s="24">
        <f>IFERROR(INDEX(Materias!$C$3:$C$18,MATCH($A14,Materias!$B$3:$B$18,0)),"")</f>
      </c>
      <c r="C14" s="24"/>
      <c r="D14" s="24"/>
      <c r="E14" s="27"/>
      <c r="F14" s="24"/>
      <c r="G14" s="27">
        <f>IFERROR(INDEX(Criterios!$H$3:$H$302,MATCH($F14,Criterios!$C$3:$C$302,0)),"")</f>
      </c>
      <c r="H14" s="24"/>
      <c r="I14" s="27">
        <f>IFERROR(INDEX(Criterios!$H$3:$H$302,MATCH($H14,Criterios!$C$3:$C$302,0)),"")</f>
      </c>
      <c r="J14" s="24"/>
      <c r="K14" s="27"/>
      <c r="L14" s="24"/>
      <c r="M14" s="24"/>
      <c r="N14" s="24"/>
      <c r="O14" s="24"/>
      <c r="P14" s="24"/>
      <c r="Q14" s="73"/>
      <c r="R14" s="24"/>
      <c r="S14" s="24"/>
    </row>
    <row r="15" spans="1:19" x14ac:dyDescent="0.25">
      <c r="A15" s="24"/>
      <c r="B15" s="24">
        <f>IFERROR(INDEX(Materias!$C$3:$C$18,MATCH($A15,Materias!$B$3:$B$18,0)),"")</f>
      </c>
      <c r="C15" s="24"/>
      <c r="D15" s="24"/>
      <c r="E15" s="27"/>
      <c r="F15" s="24"/>
      <c r="G15" s="27">
        <f>IFERROR(INDEX(Criterios!$H$3:$H$302,MATCH($F15,Criterios!$C$3:$C$302,0)),"")</f>
      </c>
      <c r="H15" s="24"/>
      <c r="I15" s="27">
        <f>IFERROR(INDEX(Criterios!$H$3:$H$302,MATCH($H15,Criterios!$C$3:$C$302,0)),"")</f>
      </c>
      <c r="J15" s="24"/>
      <c r="K15" s="27"/>
      <c r="L15" s="24"/>
      <c r="M15" s="24"/>
      <c r="N15" s="24"/>
      <c r="O15" s="24"/>
      <c r="P15" s="24"/>
      <c r="Q15" s="73"/>
      <c r="R15" s="24"/>
      <c r="S15" s="24"/>
    </row>
    <row r="16" spans="1:19" x14ac:dyDescent="0.25">
      <c r="A16" s="24"/>
      <c r="B16" s="24">
        <f>IFERROR(INDEX(Materias!$C$3:$C$18,MATCH($A16,Materias!$B$3:$B$18,0)),"")</f>
      </c>
      <c r="C16" s="24"/>
      <c r="D16" s="24"/>
      <c r="E16" s="27"/>
      <c r="F16" s="24"/>
      <c r="G16" s="27">
        <f>IFERROR(INDEX(Criterios!$H$3:$H$302,MATCH($F16,Criterios!$C$3:$C$302,0)),"")</f>
      </c>
      <c r="H16" s="24"/>
      <c r="I16" s="27">
        <f>IFERROR(INDEX(Criterios!$H$3:$H$302,MATCH($H16,Criterios!$C$3:$C$302,0)),"")</f>
      </c>
      <c r="J16" s="24"/>
      <c r="K16" s="27"/>
      <c r="L16" s="24"/>
      <c r="M16" s="24"/>
      <c r="N16" s="24"/>
      <c r="O16" s="24"/>
      <c r="P16" s="24"/>
      <c r="Q16" s="73"/>
      <c r="R16" s="24"/>
      <c r="S16" s="24"/>
    </row>
    <row r="17" spans="1:19" x14ac:dyDescent="0.25">
      <c r="A17" s="24"/>
      <c r="B17" s="24">
        <f>IFERROR(INDEX(Materias!$C$3:$C$18,MATCH($A17,Materias!$B$3:$B$18,0)),"")</f>
      </c>
      <c r="C17" s="24"/>
      <c r="D17" s="24"/>
      <c r="E17" s="27"/>
      <c r="F17" s="24"/>
      <c r="G17" s="27">
        <f>IFERROR(INDEX(Criterios!$H$3:$H$302,MATCH($F17,Criterios!$C$3:$C$302,0)),"")</f>
      </c>
      <c r="H17" s="24"/>
      <c r="I17" s="27">
        <f>IFERROR(INDEX(Criterios!$H$3:$H$302,MATCH($H17,Criterios!$C$3:$C$302,0)),"")</f>
      </c>
      <c r="J17" s="24"/>
      <c r="K17" s="27"/>
      <c r="L17" s="24"/>
      <c r="M17" s="24"/>
      <c r="N17" s="24"/>
      <c r="O17" s="24"/>
      <c r="P17" s="24"/>
      <c r="Q17" s="73"/>
      <c r="R17" s="24"/>
      <c r="S17" s="24"/>
    </row>
    <row r="18" spans="1:19" x14ac:dyDescent="0.25">
      <c r="A18" s="24"/>
      <c r="B18" s="24">
        <f>IFERROR(INDEX(Materias!$C$3:$C$18,MATCH($A18,Materias!$B$3:$B$18,0)),"")</f>
      </c>
      <c r="C18" s="24"/>
      <c r="D18" s="24"/>
      <c r="E18" s="27"/>
      <c r="F18" s="24"/>
      <c r="G18" s="27">
        <f>IFERROR(INDEX(Criterios!$H$3:$H$302,MATCH($F18,Criterios!$C$3:$C$302,0)),"")</f>
      </c>
      <c r="H18" s="24"/>
      <c r="I18" s="27">
        <f>IFERROR(INDEX(Criterios!$H$3:$H$302,MATCH($H18,Criterios!$C$3:$C$302,0)),"")</f>
      </c>
      <c r="J18" s="24"/>
      <c r="K18" s="27"/>
      <c r="L18" s="24"/>
      <c r="M18" s="24"/>
      <c r="N18" s="24"/>
      <c r="O18" s="24"/>
      <c r="P18" s="24"/>
      <c r="Q18" s="73"/>
      <c r="R18" s="24"/>
      <c r="S18" s="24"/>
    </row>
    <row r="19" spans="1:19" x14ac:dyDescent="0.25">
      <c r="A19" s="24"/>
      <c r="B19" s="24">
        <f>IFERROR(INDEX(Materias!$C$3:$C$18,MATCH($A19,Materias!$B$3:$B$18,0)),"")</f>
      </c>
      <c r="C19" s="24"/>
      <c r="D19" s="24"/>
      <c r="E19" s="27"/>
      <c r="F19" s="24"/>
      <c r="G19" s="27">
        <f>IFERROR(INDEX(Criterios!$H$3:$H$302,MATCH($F19,Criterios!$C$3:$C$302,0)),"")</f>
      </c>
      <c r="H19" s="24"/>
      <c r="I19" s="27">
        <f>IFERROR(INDEX(Criterios!$H$3:$H$302,MATCH($H19,Criterios!$C$3:$C$302,0)),"")</f>
      </c>
      <c r="J19" s="24"/>
      <c r="K19" s="27"/>
      <c r="L19" s="24"/>
      <c r="M19" s="24"/>
      <c r="N19" s="24"/>
      <c r="O19" s="24"/>
      <c r="P19" s="24"/>
      <c r="Q19" s="73"/>
      <c r="R19" s="24"/>
      <c r="S19" s="24"/>
    </row>
    <row r="20" spans="1:19" x14ac:dyDescent="0.25">
      <c r="A20" s="24"/>
      <c r="B20" s="24">
        <f>IFERROR(INDEX(Materias!$C$3:$C$18,MATCH($A20,Materias!$B$3:$B$18,0)),"")</f>
      </c>
      <c r="C20" s="24"/>
      <c r="D20" s="24"/>
      <c r="E20" s="27"/>
      <c r="F20" s="24"/>
      <c r="G20" s="27">
        <f>IFERROR(INDEX(Criterios!$H$3:$H$302,MATCH($F20,Criterios!$C$3:$C$302,0)),"")</f>
      </c>
      <c r="H20" s="24"/>
      <c r="I20" s="27">
        <f>IFERROR(INDEX(Criterios!$H$3:$H$302,MATCH($H20,Criterios!$C$3:$C$302,0)),"")</f>
      </c>
      <c r="J20" s="24"/>
      <c r="K20" s="27"/>
      <c r="L20" s="24"/>
      <c r="M20" s="24"/>
      <c r="N20" s="24"/>
      <c r="O20" s="24"/>
      <c r="P20" s="24"/>
      <c r="Q20" s="73"/>
      <c r="R20" s="24"/>
      <c r="S20" s="24"/>
    </row>
    <row r="21" spans="1:19" x14ac:dyDescent="0.25">
      <c r="A21" s="24"/>
      <c r="B21" s="24">
        <f>IFERROR(INDEX(Materias!$C$3:$C$18,MATCH($A21,Materias!$B$3:$B$18,0)),"")</f>
      </c>
      <c r="C21" s="24"/>
      <c r="D21" s="24"/>
      <c r="E21" s="27"/>
      <c r="F21" s="24"/>
      <c r="G21" s="27">
        <f>IFERROR(INDEX(Criterios!$H$3:$H$302,MATCH($F21,Criterios!$C$3:$C$302,0)),"")</f>
      </c>
      <c r="H21" s="24"/>
      <c r="I21" s="27">
        <f>IFERROR(INDEX(Criterios!$H$3:$H$302,MATCH($H21,Criterios!$C$3:$C$302,0)),"")</f>
      </c>
      <c r="J21" s="24"/>
      <c r="K21" s="27"/>
      <c r="L21" s="24"/>
      <c r="M21" s="24"/>
      <c r="N21" s="24"/>
      <c r="O21" s="24"/>
      <c r="P21" s="24"/>
      <c r="Q21" s="73"/>
      <c r="R21" s="24"/>
      <c r="S21" s="24"/>
    </row>
    <row r="22" spans="1:19" x14ac:dyDescent="0.25">
      <c r="A22" s="24"/>
      <c r="B22" s="24">
        <f>IFERROR(INDEX(Materias!$C$3:$C$18,MATCH($A22,Materias!$B$3:$B$18,0)),"")</f>
      </c>
      <c r="C22" s="24"/>
      <c r="D22" s="24"/>
      <c r="E22" s="27"/>
      <c r="F22" s="24"/>
      <c r="G22" s="27">
        <f>IFERROR(INDEX(Criterios!$H$3:$H$302,MATCH($F22,Criterios!$C$3:$C$302,0)),"")</f>
      </c>
      <c r="H22" s="24"/>
      <c r="I22" s="27">
        <f>IFERROR(INDEX(Criterios!$H$3:$H$302,MATCH($H22,Criterios!$C$3:$C$302,0)),"")</f>
      </c>
      <c r="J22" s="24"/>
      <c r="K22" s="27"/>
      <c r="L22" s="24"/>
      <c r="M22" s="24"/>
      <c r="N22" s="24"/>
      <c r="O22" s="24"/>
      <c r="P22" s="24"/>
      <c r="Q22" s="73"/>
      <c r="R22" s="24"/>
      <c r="S22" s="24"/>
    </row>
    <row r="23" spans="1:19" x14ac:dyDescent="0.25">
      <c r="A23" s="24"/>
      <c r="B23" s="24">
        <f>IFERROR(INDEX(Materias!$C$3:$C$18,MATCH($A23,Materias!$B$3:$B$18,0)),"")</f>
      </c>
      <c r="C23" s="24"/>
      <c r="D23" s="24"/>
      <c r="E23" s="27"/>
      <c r="F23" s="24"/>
      <c r="G23" s="27">
        <f>IFERROR(INDEX(Criterios!$H$3:$H$302,MATCH($F23,Criterios!$C$3:$C$302,0)),"")</f>
      </c>
      <c r="H23" s="24"/>
      <c r="I23" s="27">
        <f>IFERROR(INDEX(Criterios!$H$3:$H$302,MATCH($H23,Criterios!$C$3:$C$302,0)),"")</f>
      </c>
      <c r="J23" s="24"/>
      <c r="K23" s="27"/>
      <c r="L23" s="24"/>
      <c r="M23" s="24"/>
      <c r="N23" s="24"/>
      <c r="O23" s="24"/>
      <c r="P23" s="24"/>
      <c r="Q23" s="73"/>
      <c r="R23" s="24"/>
      <c r="S23" s="24"/>
    </row>
    <row r="24" spans="1:19" x14ac:dyDescent="0.25">
      <c r="A24" s="24"/>
      <c r="B24" s="24">
        <f>IFERROR(INDEX(Materias!$C$3:$C$18,MATCH($A24,Materias!$B$3:$B$18,0)),"")</f>
      </c>
      <c r="C24" s="24"/>
      <c r="D24" s="24"/>
      <c r="E24" s="27"/>
      <c r="F24" s="24"/>
      <c r="G24" s="27">
        <f>IFERROR(INDEX(Criterios!$H$3:$H$302,MATCH($F24,Criterios!$C$3:$C$302,0)),"")</f>
      </c>
      <c r="H24" s="24"/>
      <c r="I24" s="27">
        <f>IFERROR(INDEX(Criterios!$H$3:$H$302,MATCH($H24,Criterios!$C$3:$C$302,0)),"")</f>
      </c>
      <c r="J24" s="24"/>
      <c r="K24" s="27"/>
      <c r="L24" s="24"/>
      <c r="M24" s="24"/>
      <c r="N24" s="24"/>
      <c r="O24" s="24"/>
      <c r="P24" s="24"/>
      <c r="Q24" s="73"/>
      <c r="R24" s="24"/>
      <c r="S24" s="24"/>
    </row>
    <row r="25" spans="1:19" x14ac:dyDescent="0.25">
      <c r="A25" s="24"/>
      <c r="B25" s="24">
        <f>IFERROR(INDEX(Materias!$C$3:$C$18,MATCH($A25,Materias!$B$3:$B$18,0)),"")</f>
      </c>
      <c r="C25" s="24"/>
      <c r="D25" s="24"/>
      <c r="E25" s="27"/>
      <c r="F25" s="24"/>
      <c r="G25" s="27">
        <f>IFERROR(INDEX(Criterios!$H$3:$H$302,MATCH($F25,Criterios!$C$3:$C$302,0)),"")</f>
      </c>
      <c r="H25" s="24"/>
      <c r="I25" s="27">
        <f>IFERROR(INDEX(Criterios!$H$3:$H$302,MATCH($H25,Criterios!$C$3:$C$302,0)),"")</f>
      </c>
      <c r="J25" s="24"/>
      <c r="K25" s="27"/>
      <c r="L25" s="24"/>
      <c r="M25" s="24"/>
      <c r="N25" s="24"/>
      <c r="O25" s="24"/>
      <c r="P25" s="24"/>
      <c r="Q25" s="73"/>
      <c r="R25" s="24"/>
      <c r="S25" s="24"/>
    </row>
    <row r="26" spans="1:19" x14ac:dyDescent="0.25">
      <c r="A26" s="24"/>
      <c r="B26" s="24">
        <f>IFERROR(INDEX(Materias!$C$3:$C$18,MATCH($A26,Materias!$B$3:$B$18,0)),"")</f>
      </c>
      <c r="C26" s="24"/>
      <c r="D26" s="24"/>
      <c r="E26" s="27"/>
      <c r="F26" s="24"/>
      <c r="G26" s="27">
        <f>IFERROR(INDEX(Criterios!$H$3:$H$302,MATCH($F26,Criterios!$C$3:$C$302,0)),"")</f>
      </c>
      <c r="H26" s="24"/>
      <c r="I26" s="27">
        <f>IFERROR(INDEX(Criterios!$H$3:$H$302,MATCH($H26,Criterios!$C$3:$C$302,0)),"")</f>
      </c>
      <c r="J26" s="24"/>
      <c r="K26" s="27"/>
      <c r="L26" s="24"/>
      <c r="M26" s="24"/>
      <c r="N26" s="24"/>
      <c r="O26" s="24"/>
      <c r="P26" s="24"/>
      <c r="Q26" s="73"/>
      <c r="R26" s="24"/>
      <c r="S26" s="24"/>
    </row>
    <row r="27" spans="1:19" x14ac:dyDescent="0.25">
      <c r="A27" s="24"/>
      <c r="B27" s="24">
        <f>IFERROR(INDEX(Materias!$C$3:$C$18,MATCH($A27,Materias!$B$3:$B$18,0)),"")</f>
      </c>
      <c r="C27" s="24"/>
      <c r="D27" s="24"/>
      <c r="E27" s="27"/>
      <c r="F27" s="24"/>
      <c r="G27" s="27">
        <f>IFERROR(INDEX(Criterios!$H$3:$H$302,MATCH($F27,Criterios!$C$3:$C$302,0)),"")</f>
      </c>
      <c r="H27" s="24"/>
      <c r="I27" s="27">
        <f>IFERROR(INDEX(Criterios!$H$3:$H$302,MATCH($H27,Criterios!$C$3:$C$302,0)),"")</f>
      </c>
      <c r="J27" s="24"/>
      <c r="K27" s="27"/>
      <c r="L27" s="24"/>
      <c r="M27" s="24"/>
      <c r="N27" s="24"/>
      <c r="O27" s="24"/>
      <c r="P27" s="24"/>
      <c r="Q27" s="73"/>
      <c r="R27" s="24"/>
      <c r="S27" s="24"/>
    </row>
    <row r="28" spans="1:19" x14ac:dyDescent="0.25">
      <c r="A28" s="24"/>
      <c r="B28" s="24">
        <f>IFERROR(INDEX(Materias!$C$3:$C$18,MATCH($A28,Materias!$B$3:$B$18,0)),"")</f>
      </c>
      <c r="C28" s="24"/>
      <c r="D28" s="24"/>
      <c r="E28" s="27"/>
      <c r="F28" s="24"/>
      <c r="G28" s="27">
        <f>IFERROR(INDEX(Criterios!$H$3:$H$302,MATCH($F28,Criterios!$C$3:$C$302,0)),"")</f>
      </c>
      <c r="H28" s="24"/>
      <c r="I28" s="27">
        <f>IFERROR(INDEX(Criterios!$H$3:$H$302,MATCH($H28,Criterios!$C$3:$C$302,0)),"")</f>
      </c>
      <c r="J28" s="24"/>
      <c r="K28" s="27"/>
      <c r="L28" s="24"/>
      <c r="M28" s="24"/>
      <c r="N28" s="24"/>
      <c r="O28" s="24"/>
      <c r="P28" s="24"/>
      <c r="Q28" s="73"/>
      <c r="R28" s="24"/>
      <c r="S28" s="24"/>
    </row>
    <row r="29" spans="1:19" x14ac:dyDescent="0.25">
      <c r="A29" s="24"/>
      <c r="B29" s="24">
        <f>IFERROR(INDEX(Materias!$C$3:$C$18,MATCH($A29,Materias!$B$3:$B$18,0)),"")</f>
      </c>
      <c r="C29" s="24"/>
      <c r="D29" s="24"/>
      <c r="E29" s="27"/>
      <c r="F29" s="24"/>
      <c r="G29" s="27">
        <f>IFERROR(INDEX(Criterios!$H$3:$H$302,MATCH($F29,Criterios!$C$3:$C$302,0)),"")</f>
      </c>
      <c r="H29" s="24"/>
      <c r="I29" s="27">
        <f>IFERROR(INDEX(Criterios!$H$3:$H$302,MATCH($H29,Criterios!$C$3:$C$302,0)),"")</f>
      </c>
      <c r="J29" s="24"/>
      <c r="K29" s="27"/>
      <c r="L29" s="24"/>
      <c r="M29" s="24"/>
      <c r="N29" s="24"/>
      <c r="O29" s="24"/>
      <c r="P29" s="24"/>
      <c r="Q29" s="73"/>
      <c r="R29" s="24"/>
      <c r="S29" s="24"/>
    </row>
    <row r="30" spans="1:19" x14ac:dyDescent="0.25">
      <c r="A30" s="24"/>
      <c r="B30" s="24">
        <f>IFERROR(INDEX(Materias!$C$3:$C$18,MATCH($A30,Materias!$B$3:$B$18,0)),"")</f>
      </c>
      <c r="C30" s="24"/>
      <c r="D30" s="24"/>
      <c r="E30" s="27"/>
      <c r="F30" s="24"/>
      <c r="G30" s="27">
        <f>IFERROR(INDEX(Criterios!$H$3:$H$302,MATCH($F30,Criterios!$C$3:$C$302,0)),"")</f>
      </c>
      <c r="H30" s="24"/>
      <c r="I30" s="27">
        <f>IFERROR(INDEX(Criterios!$H$3:$H$302,MATCH($H30,Criterios!$C$3:$C$302,0)),"")</f>
      </c>
      <c r="J30" s="24"/>
      <c r="K30" s="27"/>
      <c r="L30" s="24"/>
      <c r="M30" s="24"/>
      <c r="N30" s="24"/>
      <c r="O30" s="24"/>
      <c r="P30" s="24"/>
      <c r="Q30" s="73"/>
      <c r="R30" s="24"/>
      <c r="S30" s="24"/>
    </row>
    <row r="31" spans="1:19" x14ac:dyDescent="0.25">
      <c r="A31" s="24"/>
      <c r="B31" s="24">
        <f>IFERROR(INDEX(Materias!$C$3:$C$18,MATCH($A31,Materias!$B$3:$B$18,0)),"")</f>
      </c>
      <c r="C31" s="24"/>
      <c r="D31" s="24"/>
      <c r="E31" s="27"/>
      <c r="F31" s="24"/>
      <c r="G31" s="27">
        <f>IFERROR(INDEX(Criterios!$H$3:$H$302,MATCH($F31,Criterios!$C$3:$C$302,0)),"")</f>
      </c>
      <c r="H31" s="24"/>
      <c r="I31" s="27">
        <f>IFERROR(INDEX(Criterios!$H$3:$H$302,MATCH($H31,Criterios!$C$3:$C$302,0)),"")</f>
      </c>
      <c r="J31" s="24"/>
      <c r="K31" s="27"/>
      <c r="L31" s="24"/>
      <c r="M31" s="24"/>
      <c r="N31" s="24"/>
      <c r="O31" s="24"/>
      <c r="P31" s="24"/>
      <c r="Q31" s="73"/>
      <c r="R31" s="24"/>
      <c r="S31" s="24"/>
    </row>
    <row r="32" spans="1:19" x14ac:dyDescent="0.25">
      <c r="A32" s="24"/>
      <c r="B32" s="24">
        <f>IFERROR(INDEX(Materias!$C$3:$C$18,MATCH($A32,Materias!$B$3:$B$18,0)),"")</f>
      </c>
      <c r="C32" s="24"/>
      <c r="D32" s="24"/>
      <c r="E32" s="27"/>
      <c r="F32" s="24"/>
      <c r="G32" s="27">
        <f>IFERROR(INDEX(Criterios!$H$3:$H$302,MATCH($F32,Criterios!$C$3:$C$302,0)),"")</f>
      </c>
      <c r="H32" s="24"/>
      <c r="I32" s="27">
        <f>IFERROR(INDEX(Criterios!$H$3:$H$302,MATCH($H32,Criterios!$C$3:$C$302,0)),"")</f>
      </c>
      <c r="J32" s="24"/>
      <c r="K32" s="27"/>
      <c r="L32" s="24"/>
      <c r="M32" s="24"/>
      <c r="N32" s="24"/>
      <c r="O32" s="24"/>
      <c r="P32" s="24"/>
      <c r="Q32" s="73"/>
      <c r="R32" s="24"/>
      <c r="S32" s="24"/>
    </row>
    <row r="33" spans="1:19" x14ac:dyDescent="0.25">
      <c r="A33" s="24"/>
      <c r="B33" s="24">
        <f>IFERROR(INDEX(Materias!$C$3:$C$18,MATCH($A33,Materias!$B$3:$B$18,0)),"")</f>
      </c>
      <c r="C33" s="24"/>
      <c r="D33" s="24"/>
      <c r="E33" s="27"/>
      <c r="F33" s="24"/>
      <c r="G33" s="27">
        <f>IFERROR(INDEX(Criterios!$H$3:$H$302,MATCH($F33,Criterios!$C$3:$C$302,0)),"")</f>
      </c>
      <c r="H33" s="24"/>
      <c r="I33" s="27">
        <f>IFERROR(INDEX(Criterios!$H$3:$H$302,MATCH($H33,Criterios!$C$3:$C$302,0)),"")</f>
      </c>
      <c r="J33" s="24"/>
      <c r="K33" s="27"/>
      <c r="L33" s="24"/>
      <c r="M33" s="24"/>
      <c r="N33" s="24"/>
      <c r="O33" s="24"/>
      <c r="P33" s="24"/>
      <c r="Q33" s="73"/>
      <c r="R33" s="24"/>
      <c r="S33" s="24"/>
    </row>
    <row r="34" spans="1:19" x14ac:dyDescent="0.25">
      <c r="A34" s="24"/>
      <c r="B34" s="24">
        <f>IFERROR(INDEX(Materias!$C$3:$C$18,MATCH($A34,Materias!$B$3:$B$18,0)),"")</f>
      </c>
      <c r="C34" s="24"/>
      <c r="D34" s="24"/>
      <c r="E34" s="27"/>
      <c r="F34" s="24"/>
      <c r="G34" s="27">
        <f>IFERROR(INDEX(Criterios!$H$3:$H$302,MATCH($F34,Criterios!$C$3:$C$302,0)),"")</f>
      </c>
      <c r="H34" s="24"/>
      <c r="I34" s="27">
        <f>IFERROR(INDEX(Criterios!$H$3:$H$302,MATCH($H34,Criterios!$C$3:$C$302,0)),"")</f>
      </c>
      <c r="J34" s="24"/>
      <c r="K34" s="27"/>
      <c r="L34" s="24"/>
      <c r="M34" s="24"/>
      <c r="N34" s="24"/>
      <c r="O34" s="24"/>
      <c r="P34" s="24"/>
      <c r="Q34" s="73"/>
      <c r="R34" s="24"/>
      <c r="S34" s="24"/>
    </row>
    <row r="35" spans="1:19" x14ac:dyDescent="0.25">
      <c r="A35" s="24"/>
      <c r="B35" s="24">
        <f>IFERROR(INDEX(Materias!$C$3:$C$18,MATCH($A35,Materias!$B$3:$B$18,0)),"")</f>
      </c>
      <c r="C35" s="24"/>
      <c r="D35" s="24"/>
      <c r="E35" s="27"/>
      <c r="F35" s="24"/>
      <c r="G35" s="27">
        <f>IFERROR(INDEX(Criterios!$H$3:$H$302,MATCH($F35,Criterios!$C$3:$C$302,0)),"")</f>
      </c>
      <c r="H35" s="24"/>
      <c r="I35" s="27">
        <f>IFERROR(INDEX(Criterios!$H$3:$H$302,MATCH($H35,Criterios!$C$3:$C$302,0)),"")</f>
      </c>
      <c r="J35" s="24"/>
      <c r="K35" s="27"/>
      <c r="L35" s="24"/>
      <c r="M35" s="24"/>
      <c r="N35" s="24"/>
      <c r="O35" s="24"/>
      <c r="P35" s="24"/>
      <c r="Q35" s="73"/>
      <c r="R35" s="24"/>
      <c r="S35" s="24"/>
    </row>
    <row r="36" spans="1:19" x14ac:dyDescent="0.25">
      <c r="A36" s="24"/>
      <c r="B36" s="24">
        <f>IFERROR(INDEX(Materias!$C$3:$C$18,MATCH($A36,Materias!$B$3:$B$18,0)),"")</f>
      </c>
      <c r="C36" s="24"/>
      <c r="D36" s="24"/>
      <c r="E36" s="27"/>
      <c r="F36" s="24"/>
      <c r="G36" s="27">
        <f>IFERROR(INDEX(Criterios!$H$3:$H$302,MATCH($F36,Criterios!$C$3:$C$302,0)),"")</f>
      </c>
      <c r="H36" s="24"/>
      <c r="I36" s="27">
        <f>IFERROR(INDEX(Criterios!$H$3:$H$302,MATCH($H36,Criterios!$C$3:$C$302,0)),"")</f>
      </c>
      <c r="J36" s="24"/>
      <c r="K36" s="27"/>
      <c r="L36" s="24"/>
      <c r="M36" s="24"/>
      <c r="N36" s="24"/>
      <c r="O36" s="24"/>
      <c r="P36" s="24"/>
      <c r="Q36" s="73"/>
      <c r="R36" s="24"/>
      <c r="S36" s="24"/>
    </row>
    <row r="37" spans="1:19" x14ac:dyDescent="0.25">
      <c r="A37" s="24"/>
      <c r="B37" s="24">
        <f>IFERROR(INDEX(Materias!$C$3:$C$18,MATCH($A37,Materias!$B$3:$B$18,0)),"")</f>
      </c>
      <c r="C37" s="24"/>
      <c r="D37" s="24"/>
      <c r="E37" s="27"/>
      <c r="F37" s="24"/>
      <c r="G37" s="27">
        <f>IFERROR(INDEX(Criterios!$H$3:$H$302,MATCH($F37,Criterios!$C$3:$C$302,0)),"")</f>
      </c>
      <c r="H37" s="24"/>
      <c r="I37" s="27">
        <f>IFERROR(INDEX(Criterios!$H$3:$H$302,MATCH($H37,Criterios!$C$3:$C$302,0)),"")</f>
      </c>
      <c r="J37" s="24"/>
      <c r="K37" s="27"/>
      <c r="L37" s="24"/>
      <c r="M37" s="24"/>
      <c r="N37" s="24"/>
      <c r="O37" s="24"/>
      <c r="P37" s="24"/>
      <c r="Q37" s="73"/>
      <c r="R37" s="24"/>
      <c r="S37" s="24"/>
    </row>
    <row r="38" spans="1:19" x14ac:dyDescent="0.25">
      <c r="A38" s="24"/>
      <c r="B38" s="24">
        <f>IFERROR(INDEX(Materias!$C$3:$C$18,MATCH($A38,Materias!$B$3:$B$18,0)),"")</f>
      </c>
      <c r="C38" s="24"/>
      <c r="D38" s="24"/>
      <c r="E38" s="27"/>
      <c r="F38" s="24"/>
      <c r="G38" s="27">
        <f>IFERROR(INDEX(Criterios!$H$3:$H$302,MATCH($F38,Criterios!$C$3:$C$302,0)),"")</f>
      </c>
      <c r="H38" s="24"/>
      <c r="I38" s="27">
        <f>IFERROR(INDEX(Criterios!$H$3:$H$302,MATCH($H38,Criterios!$C$3:$C$302,0)),"")</f>
      </c>
      <c r="J38" s="24"/>
      <c r="K38" s="27"/>
      <c r="L38" s="24"/>
      <c r="M38" s="24"/>
      <c r="N38" s="24"/>
      <c r="O38" s="24"/>
      <c r="P38" s="24"/>
      <c r="Q38" s="73"/>
      <c r="R38" s="24"/>
      <c r="S38" s="24"/>
    </row>
    <row r="39" spans="1:19" x14ac:dyDescent="0.25">
      <c r="A39" s="24"/>
      <c r="B39" s="24">
        <f>IFERROR(INDEX(Materias!$C$3:$C$18,MATCH($A39,Materias!$B$3:$B$18,0)),"")</f>
      </c>
      <c r="C39" s="24"/>
      <c r="D39" s="24"/>
      <c r="E39" s="27"/>
      <c r="F39" s="24"/>
      <c r="G39" s="27">
        <f>IFERROR(INDEX(Criterios!$H$3:$H$302,MATCH($F39,Criterios!$C$3:$C$302,0)),"")</f>
      </c>
      <c r="H39" s="24"/>
      <c r="I39" s="27">
        <f>IFERROR(INDEX(Criterios!$H$3:$H$302,MATCH($H39,Criterios!$C$3:$C$302,0)),"")</f>
      </c>
      <c r="J39" s="24"/>
      <c r="K39" s="27"/>
      <c r="L39" s="24"/>
      <c r="M39" s="24"/>
      <c r="N39" s="24"/>
      <c r="O39" s="24"/>
      <c r="P39" s="24"/>
      <c r="Q39" s="73"/>
      <c r="R39" s="24"/>
      <c r="S39" s="24"/>
    </row>
    <row r="40" spans="1:19" x14ac:dyDescent="0.25">
      <c r="A40" s="24"/>
      <c r="B40" s="24">
        <f>IFERROR(INDEX(Materias!$C$3:$C$18,MATCH($A40,Materias!$B$3:$B$18,0)),"")</f>
      </c>
      <c r="C40" s="24"/>
      <c r="D40" s="24"/>
      <c r="E40" s="27"/>
      <c r="F40" s="24"/>
      <c r="G40" s="27">
        <f>IFERROR(INDEX(Criterios!$H$3:$H$302,MATCH($F40,Criterios!$C$3:$C$302,0)),"")</f>
      </c>
      <c r="H40" s="24"/>
      <c r="I40" s="27">
        <f>IFERROR(INDEX(Criterios!$H$3:$H$302,MATCH($H40,Criterios!$C$3:$C$302,0)),"")</f>
      </c>
      <c r="J40" s="24"/>
      <c r="K40" s="27"/>
      <c r="L40" s="24"/>
      <c r="M40" s="24"/>
      <c r="N40" s="24"/>
      <c r="O40" s="24"/>
      <c r="P40" s="24"/>
      <c r="Q40" s="73"/>
      <c r="R40" s="24"/>
      <c r="S40" s="24"/>
    </row>
    <row r="41" spans="1:19" x14ac:dyDescent="0.25">
      <c r="A41" s="24"/>
      <c r="B41" s="24">
        <f>IFERROR(INDEX(Materias!$C$3:$C$18,MATCH($A41,Materias!$B$3:$B$18,0)),"")</f>
      </c>
      <c r="C41" s="24"/>
      <c r="D41" s="24"/>
      <c r="E41" s="27"/>
      <c r="F41" s="24"/>
      <c r="G41" s="27">
        <f>IFERROR(INDEX(Criterios!$H$3:$H$302,MATCH($F41,Criterios!$C$3:$C$302,0)),"")</f>
      </c>
      <c r="H41" s="24"/>
      <c r="I41" s="27">
        <f>IFERROR(INDEX(Criterios!$H$3:$H$302,MATCH($H41,Criterios!$C$3:$C$302,0)),"")</f>
      </c>
      <c r="J41" s="24"/>
      <c r="K41" s="27"/>
      <c r="L41" s="24"/>
      <c r="M41" s="24"/>
      <c r="N41" s="24"/>
      <c r="O41" s="24"/>
      <c r="P41" s="24"/>
      <c r="Q41" s="73"/>
      <c r="R41" s="24"/>
      <c r="S41" s="24"/>
    </row>
    <row r="42" spans="1:19" x14ac:dyDescent="0.25">
      <c r="A42" s="24"/>
      <c r="B42" s="24">
        <f>IFERROR(INDEX(Materias!$C$3:$C$18,MATCH($A42,Materias!$B$3:$B$18,0)),"")</f>
      </c>
      <c r="C42" s="24"/>
      <c r="D42" s="24"/>
      <c r="E42" s="27"/>
      <c r="F42" s="24"/>
      <c r="G42" s="27">
        <f>IFERROR(INDEX(Criterios!$H$3:$H$302,MATCH($F42,Criterios!$C$3:$C$302,0)),"")</f>
      </c>
      <c r="H42" s="24"/>
      <c r="I42" s="27">
        <f>IFERROR(INDEX(Criterios!$H$3:$H$302,MATCH($H42,Criterios!$C$3:$C$302,0)),"")</f>
      </c>
      <c r="J42" s="24"/>
      <c r="K42" s="27"/>
      <c r="L42" s="24"/>
      <c r="M42" s="24"/>
      <c r="N42" s="24"/>
      <c r="O42" s="24"/>
      <c r="P42" s="24"/>
      <c r="Q42" s="73"/>
      <c r="R42" s="24"/>
      <c r="S42" s="24"/>
    </row>
    <row r="43" spans="1:19" x14ac:dyDescent="0.25">
      <c r="A43" s="24"/>
      <c r="B43" s="24">
        <f>IFERROR(INDEX(Materias!$C$3:$C$18,MATCH($A43,Materias!$B$3:$B$18,0)),"")</f>
      </c>
      <c r="C43" s="24"/>
      <c r="D43" s="24"/>
      <c r="E43" s="27"/>
      <c r="F43" s="24"/>
      <c r="G43" s="27">
        <f>IFERROR(INDEX(Criterios!$H$3:$H$302,MATCH($F43,Criterios!$C$3:$C$302,0)),"")</f>
      </c>
      <c r="H43" s="24"/>
      <c r="I43" s="27">
        <f>IFERROR(INDEX(Criterios!$H$3:$H$302,MATCH($H43,Criterios!$C$3:$C$302,0)),"")</f>
      </c>
      <c r="J43" s="24"/>
      <c r="K43" s="27"/>
      <c r="L43" s="24"/>
      <c r="M43" s="24"/>
      <c r="N43" s="24"/>
      <c r="O43" s="24"/>
      <c r="P43" s="24"/>
      <c r="Q43" s="73"/>
      <c r="R43" s="24"/>
      <c r="S43" s="24"/>
    </row>
    <row r="44" spans="1:19" x14ac:dyDescent="0.25">
      <c r="A44" s="24"/>
      <c r="B44" s="24">
        <f>IFERROR(INDEX(Materias!$C$3:$C$18,MATCH($A44,Materias!$B$3:$B$18,0)),"")</f>
      </c>
      <c r="C44" s="24"/>
      <c r="D44" s="24"/>
      <c r="E44" s="27"/>
      <c r="F44" s="24"/>
      <c r="G44" s="27">
        <f>IFERROR(INDEX(Criterios!$H$3:$H$302,MATCH($F44,Criterios!$C$3:$C$302,0)),"")</f>
      </c>
      <c r="H44" s="24"/>
      <c r="I44" s="27">
        <f>IFERROR(INDEX(Criterios!$H$3:$H$302,MATCH($H44,Criterios!$C$3:$C$302,0)),"")</f>
      </c>
      <c r="J44" s="24"/>
      <c r="K44" s="27"/>
      <c r="L44" s="24"/>
      <c r="M44" s="24"/>
      <c r="N44" s="24"/>
      <c r="O44" s="24"/>
      <c r="P44" s="24"/>
      <c r="Q44" s="73"/>
      <c r="R44" s="24"/>
      <c r="S44" s="24"/>
    </row>
    <row r="45" spans="1:19" x14ac:dyDescent="0.25">
      <c r="A45" s="24"/>
      <c r="B45" s="24">
        <f>IFERROR(INDEX(Materias!$C$3:$C$18,MATCH($A45,Materias!$B$3:$B$18,0)),"")</f>
      </c>
      <c r="C45" s="24"/>
      <c r="D45" s="24"/>
      <c r="E45" s="27"/>
      <c r="F45" s="24"/>
      <c r="G45" s="27">
        <f>IFERROR(INDEX(Criterios!$H$3:$H$302,MATCH($F45,Criterios!$C$3:$C$302,0)),"")</f>
      </c>
      <c r="H45" s="24"/>
      <c r="I45" s="27">
        <f>IFERROR(INDEX(Criterios!$H$3:$H$302,MATCH($H45,Criterios!$C$3:$C$302,0)),"")</f>
      </c>
      <c r="J45" s="24"/>
      <c r="K45" s="27"/>
      <c r="L45" s="24"/>
      <c r="M45" s="24"/>
      <c r="N45" s="24"/>
      <c r="O45" s="24"/>
      <c r="P45" s="24"/>
      <c r="Q45" s="73"/>
      <c r="R45" s="24"/>
      <c r="S45" s="24"/>
    </row>
    <row r="46" spans="1:19" x14ac:dyDescent="0.25">
      <c r="A46" s="24"/>
      <c r="B46" s="24">
        <f>IFERROR(INDEX(Materias!$C$3:$C$18,MATCH($A46,Materias!$B$3:$B$18,0)),"")</f>
      </c>
      <c r="C46" s="24"/>
      <c r="D46" s="24"/>
      <c r="E46" s="27"/>
      <c r="F46" s="24"/>
      <c r="G46" s="27">
        <f>IFERROR(INDEX(Criterios!$H$3:$H$302,MATCH($F46,Criterios!$C$3:$C$302,0)),"")</f>
      </c>
      <c r="H46" s="24"/>
      <c r="I46" s="27">
        <f>IFERROR(INDEX(Criterios!$H$3:$H$302,MATCH($H46,Criterios!$C$3:$C$302,0)),"")</f>
      </c>
      <c r="J46" s="24"/>
      <c r="K46" s="27"/>
      <c r="L46" s="24"/>
      <c r="M46" s="24"/>
      <c r="N46" s="24"/>
      <c r="O46" s="24"/>
      <c r="P46" s="24"/>
      <c r="Q46" s="73"/>
      <c r="R46" s="24"/>
      <c r="S46" s="24"/>
    </row>
    <row r="47" spans="1:19" x14ac:dyDescent="0.25">
      <c r="A47" s="24"/>
      <c r="B47" s="24">
        <f>IFERROR(INDEX(Materias!$C$3:$C$18,MATCH($A47,Materias!$B$3:$B$18,0)),"")</f>
      </c>
      <c r="C47" s="24"/>
      <c r="D47" s="24"/>
      <c r="E47" s="27"/>
      <c r="F47" s="24"/>
      <c r="G47" s="27">
        <f>IFERROR(INDEX(Criterios!$H$3:$H$302,MATCH($F47,Criterios!$C$3:$C$302,0)),"")</f>
      </c>
      <c r="H47" s="24"/>
      <c r="I47" s="27">
        <f>IFERROR(INDEX(Criterios!$H$3:$H$302,MATCH($H47,Criterios!$C$3:$C$302,0)),"")</f>
      </c>
      <c r="J47" s="24"/>
      <c r="K47" s="27"/>
      <c r="L47" s="24"/>
      <c r="M47" s="24"/>
      <c r="N47" s="24"/>
      <c r="O47" s="24"/>
      <c r="P47" s="24"/>
      <c r="Q47" s="73"/>
      <c r="R47" s="24"/>
      <c r="S47" s="24"/>
    </row>
    <row r="48" spans="1:19" x14ac:dyDescent="0.25">
      <c r="A48" s="24"/>
      <c r="B48" s="24">
        <f>IFERROR(INDEX(Materias!$C$3:$C$18,MATCH($A48,Materias!$B$3:$B$18,0)),"")</f>
      </c>
      <c r="C48" s="24"/>
      <c r="D48" s="24"/>
      <c r="E48" s="27"/>
      <c r="F48" s="24"/>
      <c r="G48" s="27">
        <f>IFERROR(INDEX(Criterios!$H$3:$H$302,MATCH($F48,Criterios!$C$3:$C$302,0)),"")</f>
      </c>
      <c r="H48" s="24"/>
      <c r="I48" s="27">
        <f>IFERROR(INDEX(Criterios!$H$3:$H$302,MATCH($H48,Criterios!$C$3:$C$302,0)),"")</f>
      </c>
      <c r="J48" s="24"/>
      <c r="K48" s="27"/>
      <c r="L48" s="24"/>
      <c r="M48" s="24"/>
      <c r="N48" s="24"/>
      <c r="O48" s="24"/>
      <c r="P48" s="24"/>
      <c r="Q48" s="73"/>
      <c r="R48" s="24"/>
      <c r="S48" s="24"/>
    </row>
    <row r="49" spans="1:19" x14ac:dyDescent="0.25">
      <c r="A49" s="24"/>
      <c r="B49" s="24">
        <f>IFERROR(INDEX(Materias!$C$3:$C$18,MATCH($A49,Materias!$B$3:$B$18,0)),"")</f>
      </c>
      <c r="C49" s="24"/>
      <c r="D49" s="24"/>
      <c r="E49" s="27"/>
      <c r="F49" s="24"/>
      <c r="G49" s="27">
        <f>IFERROR(INDEX(Criterios!$H$3:$H$302,MATCH($F49,Criterios!$C$3:$C$302,0)),"")</f>
      </c>
      <c r="H49" s="24"/>
      <c r="I49" s="27">
        <f>IFERROR(INDEX(Criterios!$H$3:$H$302,MATCH($H49,Criterios!$C$3:$C$302,0)),"")</f>
      </c>
      <c r="J49" s="24"/>
      <c r="K49" s="27"/>
      <c r="L49" s="24"/>
      <c r="M49" s="24"/>
      <c r="N49" s="24"/>
      <c r="O49" s="24"/>
      <c r="P49" s="24"/>
      <c r="Q49" s="73"/>
      <c r="R49" s="24"/>
      <c r="S49" s="24"/>
    </row>
    <row r="50" spans="1:19" x14ac:dyDescent="0.25">
      <c r="A50" s="24"/>
      <c r="B50" s="24">
        <f>IFERROR(INDEX(Materias!$C$3:$C$18,MATCH($A50,Materias!$B$3:$B$18,0)),"")</f>
      </c>
      <c r="C50" s="24"/>
      <c r="D50" s="24"/>
      <c r="E50" s="27"/>
      <c r="F50" s="24"/>
      <c r="G50" s="27">
        <f>IFERROR(INDEX(Criterios!$H$3:$H$302,MATCH($F50,Criterios!$C$3:$C$302,0)),"")</f>
      </c>
      <c r="H50" s="24"/>
      <c r="I50" s="27">
        <f>IFERROR(INDEX(Criterios!$H$3:$H$302,MATCH($H50,Criterios!$C$3:$C$302,0)),"")</f>
      </c>
      <c r="J50" s="24"/>
      <c r="K50" s="27"/>
      <c r="L50" s="24"/>
      <c r="M50" s="24"/>
      <c r="N50" s="24"/>
      <c r="O50" s="24"/>
      <c r="P50" s="24"/>
      <c r="Q50" s="73"/>
      <c r="R50" s="24"/>
      <c r="S50" s="24"/>
    </row>
    <row r="51" spans="1:19" x14ac:dyDescent="0.25">
      <c r="A51" s="24"/>
      <c r="B51" s="24">
        <f>IFERROR(INDEX(Materias!$C$3:$C$18,MATCH($A51,Materias!$B$3:$B$18,0)),"")</f>
      </c>
      <c r="C51" s="24"/>
      <c r="D51" s="24"/>
      <c r="E51" s="27"/>
      <c r="F51" s="24"/>
      <c r="G51" s="27">
        <f>IFERROR(INDEX(Criterios!$H$3:$H$302,MATCH($F51,Criterios!$C$3:$C$302,0)),"")</f>
      </c>
      <c r="H51" s="24"/>
      <c r="I51" s="27">
        <f>IFERROR(INDEX(Criterios!$H$3:$H$302,MATCH($H51,Criterios!$C$3:$C$302,0)),"")</f>
      </c>
      <c r="J51" s="24"/>
      <c r="K51" s="27"/>
      <c r="L51" s="24"/>
      <c r="M51" s="24"/>
      <c r="N51" s="24"/>
      <c r="O51" s="24"/>
      <c r="P51" s="24"/>
      <c r="Q51" s="73"/>
      <c r="R51" s="24"/>
      <c r="S51" s="24"/>
    </row>
    <row r="52" spans="1:19" x14ac:dyDescent="0.25">
      <c r="A52" s="24"/>
      <c r="B52" s="24">
        <f>IFERROR(INDEX(Materias!$C$3:$C$18,MATCH($A52,Materias!$B$3:$B$18,0)),"")</f>
      </c>
      <c r="C52" s="24"/>
      <c r="D52" s="24"/>
      <c r="E52" s="27"/>
      <c r="F52" s="24"/>
      <c r="G52" s="27">
        <f>IFERROR(INDEX(Criterios!$H$3:$H$302,MATCH($F52,Criterios!$C$3:$C$302,0)),"")</f>
      </c>
      <c r="H52" s="24"/>
      <c r="I52" s="27">
        <f>IFERROR(INDEX(Criterios!$H$3:$H$302,MATCH($H52,Criterios!$C$3:$C$302,0)),"")</f>
      </c>
      <c r="J52" s="24"/>
      <c r="K52" s="27"/>
      <c r="L52" s="24"/>
      <c r="M52" s="24"/>
      <c r="N52" s="24"/>
      <c r="O52" s="24"/>
      <c r="P52" s="24"/>
      <c r="Q52" s="73"/>
      <c r="R52" s="24"/>
      <c r="S52" s="24"/>
    </row>
    <row r="53" spans="1:19" x14ac:dyDescent="0.25">
      <c r="A53" s="24"/>
      <c r="B53" s="24">
        <f>IFERROR(INDEX(Materias!$C$3:$C$18,MATCH($A53,Materias!$B$3:$B$18,0)),"")</f>
      </c>
      <c r="C53" s="24"/>
      <c r="D53" s="24"/>
      <c r="E53" s="27"/>
      <c r="F53" s="24"/>
      <c r="G53" s="27">
        <f>IFERROR(INDEX(Criterios!$H$3:$H$302,MATCH($F53,Criterios!$C$3:$C$302,0)),"")</f>
      </c>
      <c r="H53" s="24"/>
      <c r="I53" s="27">
        <f>IFERROR(INDEX(Criterios!$H$3:$H$302,MATCH($H53,Criterios!$C$3:$C$302,0)),"")</f>
      </c>
      <c r="J53" s="24"/>
      <c r="K53" s="27"/>
      <c r="L53" s="24"/>
      <c r="M53" s="24"/>
      <c r="N53" s="24"/>
      <c r="O53" s="24"/>
      <c r="P53" s="24"/>
      <c r="Q53" s="73"/>
      <c r="R53" s="24"/>
      <c r="S53" s="24"/>
    </row>
    <row r="54" spans="1:19" x14ac:dyDescent="0.25">
      <c r="A54" s="24"/>
      <c r="B54" s="24">
        <f>IFERROR(INDEX(Materias!$C$3:$C$18,MATCH($A54,Materias!$B$3:$B$18,0)),"")</f>
      </c>
      <c r="C54" s="24"/>
      <c r="D54" s="24"/>
      <c r="E54" s="27"/>
      <c r="F54" s="24"/>
      <c r="G54" s="27">
        <f>IFERROR(INDEX(Criterios!$H$3:$H$302,MATCH($F54,Criterios!$C$3:$C$302,0)),"")</f>
      </c>
      <c r="H54" s="24"/>
      <c r="I54" s="27">
        <f>IFERROR(INDEX(Criterios!$H$3:$H$302,MATCH($H54,Criterios!$C$3:$C$302,0)),"")</f>
      </c>
      <c r="J54" s="24"/>
      <c r="K54" s="27"/>
      <c r="L54" s="24"/>
      <c r="M54" s="24"/>
      <c r="N54" s="24"/>
      <c r="O54" s="24"/>
      <c r="P54" s="24"/>
      <c r="Q54" s="73"/>
      <c r="R54" s="24"/>
      <c r="S54" s="24"/>
    </row>
    <row r="55" spans="1:19" x14ac:dyDescent="0.25">
      <c r="A55" s="24"/>
      <c r="B55" s="24">
        <f>IFERROR(INDEX(Materias!$C$3:$C$18,MATCH($A55,Materias!$B$3:$B$18,0)),"")</f>
      </c>
      <c r="C55" s="24"/>
      <c r="D55" s="24"/>
      <c r="E55" s="27"/>
      <c r="F55" s="24"/>
      <c r="G55" s="27">
        <f>IFERROR(INDEX(Criterios!$H$3:$H$302,MATCH($F55,Criterios!$C$3:$C$302,0)),"")</f>
      </c>
      <c r="H55" s="24"/>
      <c r="I55" s="27">
        <f>IFERROR(INDEX(Criterios!$H$3:$H$302,MATCH($H55,Criterios!$C$3:$C$302,0)),"")</f>
      </c>
      <c r="J55" s="24"/>
      <c r="K55" s="27"/>
      <c r="L55" s="24"/>
      <c r="M55" s="24"/>
      <c r="N55" s="24"/>
      <c r="O55" s="24"/>
      <c r="P55" s="24"/>
      <c r="Q55" s="73"/>
      <c r="R55" s="24"/>
      <c r="S55" s="24"/>
    </row>
    <row r="56" spans="1:19" x14ac:dyDescent="0.25">
      <c r="A56" s="24"/>
      <c r="B56" s="24">
        <f>IFERROR(INDEX(Materias!$C$3:$C$18,MATCH($A56,Materias!$B$3:$B$18,0)),"")</f>
      </c>
      <c r="C56" s="24"/>
      <c r="D56" s="24"/>
      <c r="E56" s="27"/>
      <c r="F56" s="24"/>
      <c r="G56" s="27">
        <f>IFERROR(INDEX(Criterios!$H$3:$H$302,MATCH($F56,Criterios!$C$3:$C$302,0)),"")</f>
      </c>
      <c r="H56" s="24"/>
      <c r="I56" s="27">
        <f>IFERROR(INDEX(Criterios!$H$3:$H$302,MATCH($H56,Criterios!$C$3:$C$302,0)),"")</f>
      </c>
      <c r="J56" s="24"/>
      <c r="K56" s="27"/>
      <c r="L56" s="24"/>
      <c r="M56" s="24"/>
      <c r="N56" s="24"/>
      <c r="O56" s="24"/>
      <c r="P56" s="24"/>
      <c r="Q56" s="73"/>
      <c r="R56" s="24"/>
      <c r="S56" s="24"/>
    </row>
    <row r="57" spans="1:19" x14ac:dyDescent="0.25">
      <c r="A57" s="24"/>
      <c r="B57" s="24">
        <f>IFERROR(INDEX(Materias!$C$3:$C$18,MATCH($A57,Materias!$B$3:$B$18,0)),"")</f>
      </c>
      <c r="C57" s="24"/>
      <c r="D57" s="24"/>
      <c r="E57" s="27"/>
      <c r="F57" s="24"/>
      <c r="G57" s="27">
        <f>IFERROR(INDEX(Criterios!$H$3:$H$302,MATCH($F57,Criterios!$C$3:$C$302,0)),"")</f>
      </c>
      <c r="H57" s="24"/>
      <c r="I57" s="27">
        <f>IFERROR(INDEX(Criterios!$H$3:$H$302,MATCH($H57,Criterios!$C$3:$C$302,0)),"")</f>
      </c>
      <c r="J57" s="24"/>
      <c r="K57" s="27"/>
      <c r="L57" s="24"/>
      <c r="M57" s="24"/>
      <c r="N57" s="24"/>
      <c r="O57" s="24"/>
      <c r="P57" s="24"/>
      <c r="Q57" s="73"/>
      <c r="R57" s="24"/>
      <c r="S57" s="24"/>
    </row>
    <row r="58" spans="1:19" x14ac:dyDescent="0.25">
      <c r="A58" s="24"/>
      <c r="B58" s="24">
        <f>IFERROR(INDEX(Materias!$C$3:$C$18,MATCH($A58,Materias!$B$3:$B$18,0)),"")</f>
      </c>
      <c r="C58" s="24"/>
      <c r="D58" s="24"/>
      <c r="E58" s="27"/>
      <c r="F58" s="24"/>
      <c r="G58" s="27">
        <f>IFERROR(INDEX(Criterios!$H$3:$H$302,MATCH($F58,Criterios!$C$3:$C$302,0)),"")</f>
      </c>
      <c r="H58" s="24"/>
      <c r="I58" s="27">
        <f>IFERROR(INDEX(Criterios!$H$3:$H$302,MATCH($H58,Criterios!$C$3:$C$302,0)),"")</f>
      </c>
      <c r="J58" s="24"/>
      <c r="K58" s="27"/>
      <c r="L58" s="24"/>
      <c r="M58" s="24"/>
      <c r="N58" s="24"/>
      <c r="O58" s="24"/>
      <c r="P58" s="24"/>
      <c r="Q58" s="73"/>
      <c r="R58" s="24"/>
      <c r="S58" s="24"/>
    </row>
    <row r="59" spans="1:19" x14ac:dyDescent="0.25">
      <c r="A59" s="24"/>
      <c r="B59" s="24">
        <f>IFERROR(INDEX(Materias!$C$3:$C$18,MATCH($A59,Materias!$B$3:$B$18,0)),"")</f>
      </c>
      <c r="C59" s="24"/>
      <c r="D59" s="24"/>
      <c r="E59" s="27"/>
      <c r="F59" s="24"/>
      <c r="G59" s="27">
        <f>IFERROR(INDEX(Criterios!$H$3:$H$302,MATCH($F59,Criterios!$C$3:$C$302,0)),"")</f>
      </c>
      <c r="H59" s="24"/>
      <c r="I59" s="27">
        <f>IFERROR(INDEX(Criterios!$H$3:$H$302,MATCH($H59,Criterios!$C$3:$C$302,0)),"")</f>
      </c>
      <c r="J59" s="24"/>
      <c r="K59" s="27"/>
      <c r="L59" s="24"/>
      <c r="M59" s="24"/>
      <c r="N59" s="24"/>
      <c r="O59" s="24"/>
      <c r="P59" s="24"/>
      <c r="Q59" s="73"/>
      <c r="R59" s="24"/>
      <c r="S59" s="24"/>
    </row>
    <row r="60" spans="1:19" x14ac:dyDescent="0.25">
      <c r="A60" s="24"/>
      <c r="B60" s="24">
        <f>IFERROR(INDEX(Materias!$C$3:$C$18,MATCH($A60,Materias!$B$3:$B$18,0)),"")</f>
      </c>
      <c r="C60" s="24"/>
      <c r="D60" s="24"/>
      <c r="E60" s="27"/>
      <c r="F60" s="24"/>
      <c r="G60" s="27">
        <f>IFERROR(INDEX(Criterios!$H$3:$H$302,MATCH($F60,Criterios!$C$3:$C$302,0)),"")</f>
      </c>
      <c r="H60" s="24"/>
      <c r="I60" s="27">
        <f>IFERROR(INDEX(Criterios!$H$3:$H$302,MATCH($H60,Criterios!$C$3:$C$302,0)),"")</f>
      </c>
      <c r="J60" s="24"/>
      <c r="K60" s="27"/>
      <c r="L60" s="24"/>
      <c r="M60" s="24"/>
      <c r="N60" s="24"/>
      <c r="O60" s="24"/>
      <c r="P60" s="24"/>
      <c r="Q60" s="73"/>
      <c r="R60" s="24"/>
      <c r="S60" s="24"/>
    </row>
    <row r="61" spans="1:19" x14ac:dyDescent="0.25">
      <c r="A61" s="24"/>
      <c r="B61" s="24">
        <f>IFERROR(INDEX(Materias!$C$3:$C$18,MATCH($A61,Materias!$B$3:$B$18,0)),"")</f>
      </c>
      <c r="C61" s="24"/>
      <c r="D61" s="24"/>
      <c r="E61" s="27"/>
      <c r="F61" s="24"/>
      <c r="G61" s="27">
        <f>IFERROR(INDEX(Criterios!$H$3:$H$302,MATCH($F61,Criterios!$C$3:$C$302,0)),"")</f>
      </c>
      <c r="H61" s="24"/>
      <c r="I61" s="27">
        <f>IFERROR(INDEX(Criterios!$H$3:$H$302,MATCH($H61,Criterios!$C$3:$C$302,0)),"")</f>
      </c>
      <c r="J61" s="24"/>
      <c r="K61" s="27"/>
      <c r="L61" s="24"/>
      <c r="M61" s="24"/>
      <c r="N61" s="24"/>
      <c r="O61" s="24"/>
      <c r="P61" s="24"/>
      <c r="Q61" s="73"/>
      <c r="R61" s="24"/>
      <c r="S61" s="24"/>
    </row>
    <row r="62" spans="1:19" x14ac:dyDescent="0.25">
      <c r="A62" s="24"/>
      <c r="B62" s="24">
        <f>IFERROR(INDEX(Materias!$C$3:$C$18,MATCH($A62,Materias!$B$3:$B$18,0)),"")</f>
      </c>
      <c r="C62" s="24"/>
      <c r="D62" s="24"/>
      <c r="E62" s="27"/>
      <c r="F62" s="24"/>
      <c r="G62" s="27">
        <f>IFERROR(INDEX(Criterios!$H$3:$H$302,MATCH($F62,Criterios!$C$3:$C$302,0)),"")</f>
      </c>
      <c r="H62" s="24"/>
      <c r="I62" s="27">
        <f>IFERROR(INDEX(Criterios!$H$3:$H$302,MATCH($H62,Criterios!$C$3:$C$302,0)),"")</f>
      </c>
      <c r="J62" s="24"/>
      <c r="K62" s="27"/>
      <c r="L62" s="24"/>
      <c r="M62" s="24"/>
      <c r="N62" s="24"/>
      <c r="O62" s="24"/>
      <c r="P62" s="24"/>
      <c r="Q62" s="73"/>
      <c r="R62" s="24"/>
      <c r="S62" s="24"/>
    </row>
    <row r="63" spans="1:19" x14ac:dyDescent="0.25">
      <c r="A63" s="24"/>
      <c r="B63" s="24">
        <f>IFERROR(INDEX(Materias!$C$3:$C$18,MATCH($A63,Materias!$B$3:$B$18,0)),"")</f>
      </c>
      <c r="C63" s="24"/>
      <c r="D63" s="24"/>
      <c r="E63" s="27"/>
      <c r="F63" s="24"/>
      <c r="G63" s="27">
        <f>IFERROR(INDEX(Criterios!$H$3:$H$302,MATCH($F63,Criterios!$C$3:$C$302,0)),"")</f>
      </c>
      <c r="H63" s="24"/>
      <c r="I63" s="27">
        <f>IFERROR(INDEX(Criterios!$H$3:$H$302,MATCH($H63,Criterios!$C$3:$C$302,0)),"")</f>
      </c>
      <c r="J63" s="24"/>
      <c r="K63" s="27"/>
      <c r="L63" s="24"/>
      <c r="M63" s="24"/>
      <c r="N63" s="24"/>
      <c r="O63" s="24"/>
      <c r="P63" s="24"/>
      <c r="Q63" s="73"/>
      <c r="R63" s="24"/>
      <c r="S63" s="24"/>
    </row>
    <row r="64" spans="1:19" x14ac:dyDescent="0.25">
      <c r="A64" s="24"/>
      <c r="B64" s="24">
        <f>IFERROR(INDEX(Materias!$C$3:$C$18,MATCH($A64,Materias!$B$3:$B$18,0)),"")</f>
      </c>
      <c r="C64" s="24"/>
      <c r="D64" s="24"/>
      <c r="E64" s="27"/>
      <c r="F64" s="24"/>
      <c r="G64" s="27">
        <f>IFERROR(INDEX(Criterios!$H$3:$H$302,MATCH($F64,Criterios!$C$3:$C$302,0)),"")</f>
      </c>
      <c r="H64" s="24"/>
      <c r="I64" s="27">
        <f>IFERROR(INDEX(Criterios!$H$3:$H$302,MATCH($H64,Criterios!$C$3:$C$302,0)),"")</f>
      </c>
      <c r="J64" s="24"/>
      <c r="K64" s="27"/>
      <c r="L64" s="24"/>
      <c r="M64" s="24"/>
      <c r="N64" s="24"/>
      <c r="O64" s="24"/>
      <c r="P64" s="24"/>
      <c r="Q64" s="73"/>
      <c r="R64" s="24"/>
      <c r="S64" s="24"/>
    </row>
    <row r="65" spans="1:19" x14ac:dyDescent="0.25">
      <c r="A65" s="24"/>
      <c r="B65" s="24">
        <f>IFERROR(INDEX(Materias!$C$3:$C$18,MATCH($A65,Materias!$B$3:$B$18,0)),"")</f>
      </c>
      <c r="C65" s="24"/>
      <c r="D65" s="24"/>
      <c r="E65" s="27"/>
      <c r="F65" s="24"/>
      <c r="G65" s="27">
        <f>IFERROR(INDEX(Criterios!$H$3:$H$302,MATCH($F65,Criterios!$C$3:$C$302,0)),"")</f>
      </c>
      <c r="H65" s="24"/>
      <c r="I65" s="27">
        <f>IFERROR(INDEX(Criterios!$H$3:$H$302,MATCH($H65,Criterios!$C$3:$C$302,0)),"")</f>
      </c>
      <c r="J65" s="24"/>
      <c r="K65" s="27"/>
      <c r="L65" s="24"/>
      <c r="M65" s="24"/>
      <c r="N65" s="24"/>
      <c r="O65" s="24"/>
      <c r="P65" s="24"/>
      <c r="Q65" s="73"/>
      <c r="R65" s="24"/>
      <c r="S65" s="24"/>
    </row>
    <row r="66" spans="1:19" x14ac:dyDescent="0.25">
      <c r="A66" s="24"/>
      <c r="B66" s="24">
        <f>IFERROR(INDEX(Materias!$C$3:$C$18,MATCH($A66,Materias!$B$3:$B$18,0)),"")</f>
      </c>
      <c r="C66" s="24"/>
      <c r="D66" s="24"/>
      <c r="E66" s="27"/>
      <c r="F66" s="24"/>
      <c r="G66" s="27">
        <f>IFERROR(INDEX(Criterios!$H$3:$H$302,MATCH($F66,Criterios!$C$3:$C$302,0)),"")</f>
      </c>
      <c r="H66" s="24"/>
      <c r="I66" s="27">
        <f>IFERROR(INDEX(Criterios!$H$3:$H$302,MATCH($H66,Criterios!$C$3:$C$302,0)),"")</f>
      </c>
      <c r="J66" s="24"/>
      <c r="K66" s="27"/>
      <c r="L66" s="24"/>
      <c r="M66" s="24"/>
      <c r="N66" s="24"/>
      <c r="O66" s="24"/>
      <c r="P66" s="24"/>
      <c r="Q66" s="73"/>
      <c r="R66" s="24"/>
      <c r="S66" s="24"/>
    </row>
    <row r="67" spans="1:19" x14ac:dyDescent="0.25">
      <c r="A67" s="24"/>
      <c r="B67" s="24">
        <f>IFERROR(INDEX(Materias!$C$3:$C$18,MATCH($A67,Materias!$B$3:$B$18,0)),"")</f>
      </c>
      <c r="C67" s="24"/>
      <c r="D67" s="24"/>
      <c r="E67" s="27"/>
      <c r="F67" s="24"/>
      <c r="G67" s="27">
        <f>IFERROR(INDEX(Criterios!$H$3:$H$302,MATCH($F67,Criterios!$C$3:$C$302,0)),"")</f>
      </c>
      <c r="H67" s="24"/>
      <c r="I67" s="27">
        <f>IFERROR(INDEX(Criterios!$H$3:$H$302,MATCH($H67,Criterios!$C$3:$C$302,0)),"")</f>
      </c>
      <c r="J67" s="24"/>
      <c r="K67" s="27"/>
      <c r="L67" s="24"/>
      <c r="M67" s="24"/>
      <c r="N67" s="24"/>
      <c r="O67" s="24"/>
      <c r="P67" s="24"/>
      <c r="Q67" s="73"/>
      <c r="R67" s="24"/>
      <c r="S67" s="24"/>
    </row>
    <row r="68" spans="1:19" x14ac:dyDescent="0.25">
      <c r="A68" s="24"/>
      <c r="B68" s="24">
        <f>IFERROR(INDEX(Materias!$C$3:$C$18,MATCH($A68,Materias!$B$3:$B$18,0)),"")</f>
      </c>
      <c r="C68" s="24"/>
      <c r="D68" s="24"/>
      <c r="E68" s="27"/>
      <c r="F68" s="24"/>
      <c r="G68" s="27">
        <f>IFERROR(INDEX(Criterios!$H$3:$H$302,MATCH($F68,Criterios!$C$3:$C$302,0)),"")</f>
      </c>
      <c r="H68" s="24"/>
      <c r="I68" s="27">
        <f>IFERROR(INDEX(Criterios!$H$3:$H$302,MATCH($H68,Criterios!$C$3:$C$302,0)),"")</f>
      </c>
      <c r="J68" s="24"/>
      <c r="K68" s="27"/>
      <c r="L68" s="24"/>
      <c r="M68" s="24"/>
      <c r="N68" s="24"/>
      <c r="O68" s="24"/>
      <c r="P68" s="24"/>
      <c r="Q68" s="73"/>
      <c r="R68" s="24"/>
      <c r="S68" s="24"/>
    </row>
    <row r="69" spans="1:19" x14ac:dyDescent="0.25">
      <c r="A69" s="24"/>
      <c r="B69" s="24">
        <f>IFERROR(INDEX(Materias!$C$3:$C$18,MATCH($A69,Materias!$B$3:$B$18,0)),"")</f>
      </c>
      <c r="C69" s="24"/>
      <c r="D69" s="24"/>
      <c r="E69" s="27"/>
      <c r="F69" s="24"/>
      <c r="G69" s="27">
        <f>IFERROR(INDEX(Criterios!$H$3:$H$302,MATCH($F69,Criterios!$C$3:$C$302,0)),"")</f>
      </c>
      <c r="H69" s="24"/>
      <c r="I69" s="27">
        <f>IFERROR(INDEX(Criterios!$H$3:$H$302,MATCH($H69,Criterios!$C$3:$C$302,0)),"")</f>
      </c>
      <c r="J69" s="24"/>
      <c r="K69" s="27"/>
      <c r="L69" s="24"/>
      <c r="M69" s="24"/>
      <c r="N69" s="24"/>
      <c r="O69" s="24"/>
      <c r="P69" s="24"/>
      <c r="Q69" s="73"/>
      <c r="R69" s="24"/>
      <c r="S69" s="24"/>
    </row>
    <row r="70" spans="1:19" x14ac:dyDescent="0.25">
      <c r="A70" s="24"/>
      <c r="B70" s="24">
        <f>IFERROR(INDEX(Materias!$C$3:$C$18,MATCH($A70,Materias!$B$3:$B$18,0)),"")</f>
      </c>
      <c r="C70" s="24"/>
      <c r="D70" s="24"/>
      <c r="E70" s="27"/>
      <c r="F70" s="24"/>
      <c r="G70" s="27">
        <f>IFERROR(INDEX(Criterios!$H$3:$H$302,MATCH($F70,Criterios!$C$3:$C$302,0)),"")</f>
      </c>
      <c r="H70" s="24"/>
      <c r="I70" s="27">
        <f>IFERROR(INDEX(Criterios!$H$3:$H$302,MATCH($H70,Criterios!$C$3:$C$302,0)),"")</f>
      </c>
      <c r="J70" s="24"/>
      <c r="K70" s="27"/>
      <c r="L70" s="24"/>
      <c r="M70" s="24"/>
      <c r="N70" s="24"/>
      <c r="O70" s="24"/>
      <c r="P70" s="24"/>
      <c r="Q70" s="73"/>
      <c r="R70" s="24"/>
      <c r="S70" s="24"/>
    </row>
    <row r="71" spans="1:19" x14ac:dyDescent="0.25">
      <c r="A71" s="24"/>
      <c r="B71" s="24">
        <f>IFERROR(INDEX(Materias!$C$3:$C$18,MATCH($A71,Materias!$B$3:$B$18,0)),"")</f>
      </c>
      <c r="C71" s="24"/>
      <c r="D71" s="24"/>
      <c r="E71" s="27"/>
      <c r="F71" s="24"/>
      <c r="G71" s="27">
        <f>IFERROR(INDEX(Criterios!$H$3:$H$302,MATCH($F71,Criterios!$C$3:$C$302,0)),"")</f>
      </c>
      <c r="H71" s="24"/>
      <c r="I71" s="27">
        <f>IFERROR(INDEX(Criterios!$H$3:$H$302,MATCH($H71,Criterios!$C$3:$C$302,0)),"")</f>
      </c>
      <c r="J71" s="24"/>
      <c r="K71" s="27"/>
      <c r="L71" s="24"/>
      <c r="M71" s="24"/>
      <c r="N71" s="24"/>
      <c r="O71" s="24"/>
      <c r="P71" s="24"/>
      <c r="Q71" s="73"/>
      <c r="R71" s="24"/>
      <c r="S71" s="24"/>
    </row>
    <row r="72" spans="1:19" x14ac:dyDescent="0.25">
      <c r="A72" s="24"/>
      <c r="B72" s="24">
        <f>IFERROR(INDEX(Materias!$C$3:$C$18,MATCH($A72,Materias!$B$3:$B$18,0)),"")</f>
      </c>
      <c r="C72" s="24"/>
      <c r="D72" s="24"/>
      <c r="E72" s="27"/>
      <c r="F72" s="24"/>
      <c r="G72" s="27">
        <f>IFERROR(INDEX(Criterios!$H$3:$H$302,MATCH($F72,Criterios!$C$3:$C$302,0)),"")</f>
      </c>
      <c r="H72" s="24"/>
      <c r="I72" s="27">
        <f>IFERROR(INDEX(Criterios!$H$3:$H$302,MATCH($H72,Criterios!$C$3:$C$302,0)),"")</f>
      </c>
      <c r="J72" s="24"/>
      <c r="K72" s="27"/>
      <c r="L72" s="24"/>
      <c r="M72" s="24"/>
      <c r="N72" s="24"/>
      <c r="O72" s="24"/>
      <c r="P72" s="24"/>
      <c r="Q72" s="73"/>
      <c r="R72" s="24"/>
      <c r="S72" s="24"/>
    </row>
    <row r="73" spans="1:19" x14ac:dyDescent="0.25">
      <c r="A73" s="24"/>
      <c r="B73" s="24">
        <f>IFERROR(INDEX(Materias!$C$3:$C$18,MATCH($A73,Materias!$B$3:$B$18,0)),"")</f>
      </c>
      <c r="C73" s="24"/>
      <c r="D73" s="24"/>
      <c r="E73" s="27"/>
      <c r="F73" s="24"/>
      <c r="G73" s="27">
        <f>IFERROR(INDEX(Criterios!$H$3:$H$302,MATCH($F73,Criterios!$C$3:$C$302,0)),"")</f>
      </c>
      <c r="H73" s="24"/>
      <c r="I73" s="27">
        <f>IFERROR(INDEX(Criterios!$H$3:$H$302,MATCH($H73,Criterios!$C$3:$C$302,0)),"")</f>
      </c>
      <c r="J73" s="24"/>
      <c r="K73" s="27"/>
      <c r="L73" s="24"/>
      <c r="M73" s="24"/>
      <c r="N73" s="24"/>
      <c r="O73" s="24"/>
      <c r="P73" s="24"/>
      <c r="Q73" s="73"/>
      <c r="R73" s="24"/>
      <c r="S73" s="24"/>
    </row>
    <row r="74" spans="1:19" x14ac:dyDescent="0.25">
      <c r="A74" s="24"/>
      <c r="B74" s="24">
        <f>IFERROR(INDEX(Materias!$C$3:$C$18,MATCH($A74,Materias!$B$3:$B$18,0)),"")</f>
      </c>
      <c r="C74" s="24"/>
      <c r="D74" s="24"/>
      <c r="E74" s="27"/>
      <c r="F74" s="24"/>
      <c r="G74" s="27">
        <f>IFERROR(INDEX(Criterios!$H$3:$H$302,MATCH($F74,Criterios!$C$3:$C$302,0)),"")</f>
      </c>
      <c r="H74" s="24"/>
      <c r="I74" s="27">
        <f>IFERROR(INDEX(Criterios!$H$3:$H$302,MATCH($H74,Criterios!$C$3:$C$302,0)),"")</f>
      </c>
      <c r="J74" s="24"/>
      <c r="K74" s="27"/>
      <c r="L74" s="24"/>
      <c r="M74" s="24"/>
      <c r="N74" s="24"/>
      <c r="O74" s="24"/>
      <c r="P74" s="24"/>
      <c r="Q74" s="73"/>
      <c r="R74" s="24"/>
      <c r="S74" s="24"/>
    </row>
    <row r="75" spans="1:19" x14ac:dyDescent="0.25">
      <c r="A75" s="24"/>
      <c r="B75" s="24">
        <f>IFERROR(INDEX(Materias!$C$3:$C$18,MATCH($A75,Materias!$B$3:$B$18,0)),"")</f>
      </c>
      <c r="C75" s="24"/>
      <c r="D75" s="24"/>
      <c r="E75" s="27"/>
      <c r="F75" s="24"/>
      <c r="G75" s="27">
        <f>IFERROR(INDEX(Criterios!$H$3:$H$302,MATCH($F75,Criterios!$C$3:$C$302,0)),"")</f>
      </c>
      <c r="H75" s="24"/>
      <c r="I75" s="27">
        <f>IFERROR(INDEX(Criterios!$H$3:$H$302,MATCH($H75,Criterios!$C$3:$C$302,0)),"")</f>
      </c>
      <c r="J75" s="24"/>
      <c r="K75" s="27"/>
      <c r="L75" s="24"/>
      <c r="M75" s="24"/>
      <c r="N75" s="24"/>
      <c r="O75" s="24"/>
      <c r="P75" s="24"/>
      <c r="Q75" s="73"/>
      <c r="R75" s="24"/>
      <c r="S75" s="24"/>
    </row>
    <row r="76" spans="1:19" x14ac:dyDescent="0.25">
      <c r="A76" s="24"/>
      <c r="B76" s="24">
        <f>IFERROR(INDEX(Materias!$C$3:$C$18,MATCH($A76,Materias!$B$3:$B$18,0)),"")</f>
      </c>
      <c r="C76" s="24"/>
      <c r="D76" s="24"/>
      <c r="E76" s="27"/>
      <c r="F76" s="24"/>
      <c r="G76" s="27">
        <f>IFERROR(INDEX(Criterios!$H$3:$H$302,MATCH($F76,Criterios!$C$3:$C$302,0)),"")</f>
      </c>
      <c r="H76" s="24"/>
      <c r="I76" s="27">
        <f>IFERROR(INDEX(Criterios!$H$3:$H$302,MATCH($H76,Criterios!$C$3:$C$302,0)),"")</f>
      </c>
      <c r="J76" s="24"/>
      <c r="K76" s="27"/>
      <c r="L76" s="24"/>
      <c r="M76" s="24"/>
      <c r="N76" s="24"/>
      <c r="O76" s="24"/>
      <c r="P76" s="24"/>
      <c r="Q76" s="73"/>
      <c r="R76" s="24"/>
      <c r="S76" s="24"/>
    </row>
    <row r="77" spans="1:19" x14ac:dyDescent="0.25">
      <c r="A77" s="24"/>
      <c r="B77" s="24">
        <f>IFERROR(INDEX(Materias!$C$3:$C$18,MATCH($A77,Materias!$B$3:$B$18,0)),"")</f>
      </c>
      <c r="C77" s="24"/>
      <c r="D77" s="24"/>
      <c r="E77" s="27"/>
      <c r="F77" s="24"/>
      <c r="G77" s="27">
        <f>IFERROR(INDEX(Criterios!$H$3:$H$302,MATCH($F77,Criterios!$C$3:$C$302,0)),"")</f>
      </c>
      <c r="H77" s="24"/>
      <c r="I77" s="27">
        <f>IFERROR(INDEX(Criterios!$H$3:$H$302,MATCH($H77,Criterios!$C$3:$C$302,0)),"")</f>
      </c>
      <c r="J77" s="24"/>
      <c r="K77" s="27"/>
      <c r="L77" s="24"/>
      <c r="M77" s="24"/>
      <c r="N77" s="24"/>
      <c r="O77" s="24"/>
      <c r="P77" s="24"/>
      <c r="Q77" s="73"/>
      <c r="R77" s="24"/>
      <c r="S77" s="24"/>
    </row>
    <row r="78" spans="1:19" x14ac:dyDescent="0.25">
      <c r="A78" s="24"/>
      <c r="B78" s="24">
        <f>IFERROR(INDEX(Materias!$C$3:$C$18,MATCH($A78,Materias!$B$3:$B$18,0)),"")</f>
      </c>
      <c r="C78" s="24"/>
      <c r="D78" s="24"/>
      <c r="E78" s="27"/>
      <c r="F78" s="24"/>
      <c r="G78" s="27">
        <f>IFERROR(INDEX(Criterios!$H$3:$H$302,MATCH($F78,Criterios!$C$3:$C$302,0)),"")</f>
      </c>
      <c r="H78" s="24"/>
      <c r="I78" s="27">
        <f>IFERROR(INDEX(Criterios!$H$3:$H$302,MATCH($H78,Criterios!$C$3:$C$302,0)),"")</f>
      </c>
      <c r="J78" s="24"/>
      <c r="K78" s="27"/>
      <c r="L78" s="24"/>
      <c r="M78" s="24"/>
      <c r="N78" s="24"/>
      <c r="O78" s="24"/>
      <c r="P78" s="24"/>
      <c r="Q78" s="73"/>
      <c r="R78" s="24"/>
      <c r="S78" s="24"/>
    </row>
    <row r="79" spans="1:19" x14ac:dyDescent="0.25">
      <c r="A79" s="24"/>
      <c r="B79" s="24">
        <f>IFERROR(INDEX(Materias!$C$3:$C$18,MATCH($A79,Materias!$B$3:$B$18,0)),"")</f>
      </c>
      <c r="C79" s="24"/>
      <c r="D79" s="24"/>
      <c r="E79" s="27"/>
      <c r="F79" s="24"/>
      <c r="G79" s="27">
        <f>IFERROR(INDEX(Criterios!$H$3:$H$302,MATCH($F79,Criterios!$C$3:$C$302,0)),"")</f>
      </c>
      <c r="H79" s="24"/>
      <c r="I79" s="27">
        <f>IFERROR(INDEX(Criterios!$H$3:$H$302,MATCH($H79,Criterios!$C$3:$C$302,0)),"")</f>
      </c>
      <c r="J79" s="24"/>
      <c r="K79" s="27"/>
      <c r="L79" s="24"/>
      <c r="M79" s="24"/>
      <c r="N79" s="24"/>
      <c r="O79" s="24"/>
      <c r="P79" s="24"/>
      <c r="Q79" s="73"/>
      <c r="R79" s="24"/>
      <c r="S79" s="24"/>
    </row>
    <row r="80" spans="1:19" x14ac:dyDescent="0.25">
      <c r="A80" s="24"/>
      <c r="B80" s="24">
        <f>IFERROR(INDEX(Materias!$C$3:$C$18,MATCH($A80,Materias!$B$3:$B$18,0)),"")</f>
      </c>
      <c r="C80" s="24"/>
      <c r="D80" s="24"/>
      <c r="E80" s="27"/>
      <c r="F80" s="24"/>
      <c r="G80" s="27">
        <f>IFERROR(INDEX(Criterios!$H$3:$H$302,MATCH($F80,Criterios!$C$3:$C$302,0)),"")</f>
      </c>
      <c r="H80" s="24"/>
      <c r="I80" s="27">
        <f>IFERROR(INDEX(Criterios!$H$3:$H$302,MATCH($H80,Criterios!$C$3:$C$302,0)),"")</f>
      </c>
      <c r="J80" s="24"/>
      <c r="K80" s="27"/>
      <c r="L80" s="24"/>
      <c r="M80" s="24"/>
      <c r="N80" s="24"/>
      <c r="O80" s="24"/>
      <c r="P80" s="24"/>
      <c r="Q80" s="73"/>
      <c r="R80" s="24"/>
      <c r="S80" s="24"/>
    </row>
    <row r="81" spans="1:19" x14ac:dyDescent="0.25">
      <c r="A81" s="24"/>
      <c r="B81" s="24">
        <f>IFERROR(INDEX(Materias!$C$3:$C$18,MATCH($A81,Materias!$B$3:$B$18,0)),"")</f>
      </c>
      <c r="C81" s="24"/>
      <c r="D81" s="24"/>
      <c r="E81" s="27"/>
      <c r="F81" s="24"/>
      <c r="G81" s="27">
        <f>IFERROR(INDEX(Criterios!$H$3:$H$302,MATCH($F81,Criterios!$C$3:$C$302,0)),"")</f>
      </c>
      <c r="H81" s="24"/>
      <c r="I81" s="27">
        <f>IFERROR(INDEX(Criterios!$H$3:$H$302,MATCH($H81,Criterios!$C$3:$C$302,0)),"")</f>
      </c>
      <c r="J81" s="24"/>
      <c r="K81" s="27"/>
      <c r="L81" s="24"/>
      <c r="M81" s="24"/>
      <c r="N81" s="24"/>
      <c r="O81" s="24"/>
      <c r="P81" s="24"/>
      <c r="Q81" s="73"/>
      <c r="R81" s="24"/>
      <c r="S81" s="24"/>
    </row>
    <row r="82" spans="1:19" x14ac:dyDescent="0.25">
      <c r="A82" s="24"/>
      <c r="B82" s="24">
        <f>IFERROR(INDEX(Materias!$C$3:$C$18,MATCH($A82,Materias!$B$3:$B$18,0)),"")</f>
      </c>
      <c r="C82" s="24"/>
      <c r="D82" s="24"/>
      <c r="E82" s="27"/>
      <c r="F82" s="24"/>
      <c r="G82" s="27">
        <f>IFERROR(INDEX(Criterios!$H$3:$H$302,MATCH($F82,Criterios!$C$3:$C$302,0)),"")</f>
      </c>
      <c r="H82" s="24"/>
      <c r="I82" s="27">
        <f>IFERROR(INDEX(Criterios!$H$3:$H$302,MATCH($H82,Criterios!$C$3:$C$302,0)),"")</f>
      </c>
      <c r="J82" s="24"/>
      <c r="K82" s="27"/>
      <c r="L82" s="24"/>
      <c r="M82" s="24"/>
      <c r="N82" s="24"/>
      <c r="O82" s="24"/>
      <c r="P82" s="24"/>
      <c r="Q82" s="73"/>
      <c r="R82" s="24"/>
      <c r="S82" s="24"/>
    </row>
    <row r="83" spans="1:19" x14ac:dyDescent="0.25">
      <c r="A83" s="24"/>
      <c r="B83" s="24">
        <f>IFERROR(INDEX(Materias!$C$3:$C$18,MATCH($A83,Materias!$B$3:$B$18,0)),"")</f>
      </c>
      <c r="C83" s="24"/>
      <c r="D83" s="24"/>
      <c r="E83" s="27"/>
      <c r="F83" s="24"/>
      <c r="G83" s="27">
        <f>IFERROR(INDEX(Criterios!$H$3:$H$302,MATCH($F83,Criterios!$C$3:$C$302,0)),"")</f>
      </c>
      <c r="H83" s="24"/>
      <c r="I83" s="27">
        <f>IFERROR(INDEX(Criterios!$H$3:$H$302,MATCH($H83,Criterios!$C$3:$C$302,0)),"")</f>
      </c>
      <c r="J83" s="24"/>
      <c r="K83" s="27"/>
      <c r="L83" s="24"/>
      <c r="M83" s="24"/>
      <c r="N83" s="24"/>
      <c r="O83" s="24"/>
      <c r="P83" s="24"/>
      <c r="Q83" s="73"/>
      <c r="R83" s="24"/>
      <c r="S83" s="24"/>
    </row>
    <row r="84" spans="1:19" x14ac:dyDescent="0.25">
      <c r="A84" s="24"/>
      <c r="B84" s="24">
        <f>IFERROR(INDEX(Materias!$C$3:$C$18,MATCH($A84,Materias!$B$3:$B$18,0)),"")</f>
      </c>
      <c r="C84" s="24"/>
      <c r="D84" s="24"/>
      <c r="E84" s="27"/>
      <c r="F84" s="24"/>
      <c r="G84" s="27">
        <f>IFERROR(INDEX(Criterios!$H$3:$H$302,MATCH($F84,Criterios!$C$3:$C$302,0)),"")</f>
      </c>
      <c r="H84" s="24"/>
      <c r="I84" s="27">
        <f>IFERROR(INDEX(Criterios!$H$3:$H$302,MATCH($H84,Criterios!$C$3:$C$302,0)),"")</f>
      </c>
      <c r="J84" s="24"/>
      <c r="K84" s="27"/>
      <c r="L84" s="24"/>
      <c r="M84" s="24"/>
      <c r="N84" s="24"/>
      <c r="O84" s="24"/>
      <c r="P84" s="24"/>
      <c r="Q84" s="73"/>
      <c r="R84" s="24"/>
      <c r="S84" s="24"/>
    </row>
    <row r="85" spans="1:19" x14ac:dyDescent="0.25">
      <c r="A85" s="24"/>
      <c r="B85" s="24">
        <f>IFERROR(INDEX(Materias!$C$3:$C$18,MATCH($A85,Materias!$B$3:$B$18,0)),"")</f>
      </c>
      <c r="C85" s="24"/>
      <c r="D85" s="24"/>
      <c r="E85" s="27"/>
      <c r="F85" s="24"/>
      <c r="G85" s="27">
        <f>IFERROR(INDEX(Criterios!$H$3:$H$302,MATCH($F85,Criterios!$C$3:$C$302,0)),"")</f>
      </c>
      <c r="H85" s="24"/>
      <c r="I85" s="27">
        <f>IFERROR(INDEX(Criterios!$H$3:$H$302,MATCH($H85,Criterios!$C$3:$C$302,0)),"")</f>
      </c>
      <c r="J85" s="24"/>
      <c r="K85" s="27"/>
      <c r="L85" s="24"/>
      <c r="M85" s="24"/>
      <c r="N85" s="24"/>
      <c r="O85" s="24"/>
      <c r="P85" s="24"/>
      <c r="Q85" s="73"/>
      <c r="R85" s="24"/>
      <c r="S85" s="24"/>
    </row>
    <row r="86" spans="1:19" x14ac:dyDescent="0.25">
      <c r="A86" s="24"/>
      <c r="B86" s="24">
        <f>IFERROR(INDEX(Materias!$C$3:$C$18,MATCH($A86,Materias!$B$3:$B$18,0)),"")</f>
      </c>
      <c r="C86" s="24"/>
      <c r="D86" s="24"/>
      <c r="E86" s="27"/>
      <c r="F86" s="24"/>
      <c r="G86" s="27">
        <f>IFERROR(INDEX(Criterios!$H$3:$H$302,MATCH($F86,Criterios!$C$3:$C$302,0)),"")</f>
      </c>
      <c r="H86" s="24"/>
      <c r="I86" s="27">
        <f>IFERROR(INDEX(Criterios!$H$3:$H$302,MATCH($H86,Criterios!$C$3:$C$302,0)),"")</f>
      </c>
      <c r="J86" s="24"/>
      <c r="K86" s="27"/>
      <c r="L86" s="24"/>
      <c r="M86" s="24"/>
      <c r="N86" s="24"/>
      <c r="O86" s="24"/>
      <c r="P86" s="24"/>
      <c r="Q86" s="73"/>
      <c r="R86" s="24"/>
      <c r="S86" s="24"/>
    </row>
    <row r="87" spans="1:19" x14ac:dyDescent="0.25">
      <c r="A87" s="24"/>
      <c r="B87" s="24">
        <f>IFERROR(INDEX(Materias!$C$3:$C$18,MATCH($A87,Materias!$B$3:$B$18,0)),"")</f>
      </c>
      <c r="C87" s="24"/>
      <c r="D87" s="24"/>
      <c r="E87" s="27"/>
      <c r="F87" s="24"/>
      <c r="G87" s="27">
        <f>IFERROR(INDEX(Criterios!$H$3:$H$302,MATCH($F87,Criterios!$C$3:$C$302,0)),"")</f>
      </c>
      <c r="H87" s="24"/>
      <c r="I87" s="27">
        <f>IFERROR(INDEX(Criterios!$H$3:$H$302,MATCH($H87,Criterios!$C$3:$C$302,0)),"")</f>
      </c>
      <c r="J87" s="24"/>
      <c r="K87" s="27"/>
      <c r="L87" s="24"/>
      <c r="M87" s="24"/>
      <c r="N87" s="24"/>
      <c r="O87" s="24"/>
      <c r="P87" s="24"/>
      <c r="Q87" s="73"/>
      <c r="R87" s="24"/>
      <c r="S87" s="24"/>
    </row>
    <row r="88" spans="1:19" x14ac:dyDescent="0.25">
      <c r="A88" s="24"/>
      <c r="B88" s="24">
        <f>IFERROR(INDEX(Materias!$C$3:$C$18,MATCH($A88,Materias!$B$3:$B$18,0)),"")</f>
      </c>
      <c r="C88" s="24"/>
      <c r="D88" s="24"/>
      <c r="E88" s="27"/>
      <c r="F88" s="24"/>
      <c r="G88" s="27">
        <f>IFERROR(INDEX(Criterios!$H$3:$H$302,MATCH($F88,Criterios!$C$3:$C$302,0)),"")</f>
      </c>
      <c r="H88" s="24"/>
      <c r="I88" s="27">
        <f>IFERROR(INDEX(Criterios!$H$3:$H$302,MATCH($H88,Criterios!$C$3:$C$302,0)),"")</f>
      </c>
      <c r="J88" s="24"/>
      <c r="K88" s="27"/>
      <c r="L88" s="24"/>
      <c r="M88" s="24"/>
      <c r="N88" s="24"/>
      <c r="O88" s="24"/>
      <c r="P88" s="24"/>
      <c r="Q88" s="73"/>
      <c r="R88" s="24"/>
      <c r="S88" s="24"/>
    </row>
    <row r="89" spans="1:19" x14ac:dyDescent="0.25">
      <c r="A89" s="24"/>
      <c r="B89" s="24">
        <f>IFERROR(INDEX(Materias!$C$3:$C$18,MATCH($A89,Materias!$B$3:$B$18,0)),"")</f>
      </c>
      <c r="C89" s="24"/>
      <c r="D89" s="24"/>
      <c r="E89" s="27"/>
      <c r="F89" s="24"/>
      <c r="G89" s="27">
        <f>IFERROR(INDEX(Criterios!$H$3:$H$302,MATCH($F89,Criterios!$C$3:$C$302,0)),"")</f>
      </c>
      <c r="H89" s="24"/>
      <c r="I89" s="27">
        <f>IFERROR(INDEX(Criterios!$H$3:$H$302,MATCH($H89,Criterios!$C$3:$C$302,0)),"")</f>
      </c>
      <c r="J89" s="24"/>
      <c r="K89" s="27"/>
      <c r="L89" s="24"/>
      <c r="M89" s="24"/>
      <c r="N89" s="24"/>
      <c r="O89" s="24"/>
      <c r="P89" s="24"/>
      <c r="Q89" s="73"/>
      <c r="R89" s="24"/>
      <c r="S89" s="24"/>
    </row>
    <row r="90" spans="1:19" x14ac:dyDescent="0.25">
      <c r="A90" s="24"/>
      <c r="B90" s="24">
        <f>IFERROR(INDEX(Materias!$C$3:$C$18,MATCH($A90,Materias!$B$3:$B$18,0)),"")</f>
      </c>
      <c r="C90" s="24"/>
      <c r="D90" s="24"/>
      <c r="E90" s="27"/>
      <c r="F90" s="24"/>
      <c r="G90" s="27">
        <f>IFERROR(INDEX(Criterios!$H$3:$H$302,MATCH($F90,Criterios!$C$3:$C$302,0)),"")</f>
      </c>
      <c r="H90" s="24"/>
      <c r="I90" s="27">
        <f>IFERROR(INDEX(Criterios!$H$3:$H$302,MATCH($H90,Criterios!$C$3:$C$302,0)),"")</f>
      </c>
      <c r="J90" s="24"/>
      <c r="K90" s="27"/>
      <c r="L90" s="24"/>
      <c r="M90" s="24"/>
      <c r="N90" s="24"/>
      <c r="O90" s="24"/>
      <c r="P90" s="24"/>
      <c r="Q90" s="73"/>
      <c r="R90" s="24"/>
      <c r="S90" s="24"/>
    </row>
    <row r="91" spans="1:19" x14ac:dyDescent="0.25">
      <c r="A91" s="24"/>
      <c r="B91" s="24">
        <f>IFERROR(INDEX(Materias!$C$3:$C$18,MATCH($A91,Materias!$B$3:$B$18,0)),"")</f>
      </c>
      <c r="C91" s="24"/>
      <c r="D91" s="24"/>
      <c r="E91" s="27"/>
      <c r="F91" s="24"/>
      <c r="G91" s="27">
        <f>IFERROR(INDEX(Criterios!$H$3:$H$302,MATCH($F91,Criterios!$C$3:$C$302,0)),"")</f>
      </c>
      <c r="H91" s="24"/>
      <c r="I91" s="27">
        <f>IFERROR(INDEX(Criterios!$H$3:$H$302,MATCH($H91,Criterios!$C$3:$C$302,0)),"")</f>
      </c>
      <c r="J91" s="24"/>
      <c r="K91" s="27"/>
      <c r="L91" s="24"/>
      <c r="M91" s="24"/>
      <c r="N91" s="24"/>
      <c r="O91" s="24"/>
      <c r="P91" s="24"/>
      <c r="Q91" s="73"/>
      <c r="R91" s="24"/>
      <c r="S91" s="24"/>
    </row>
    <row r="92" spans="1:19" x14ac:dyDescent="0.25">
      <c r="A92" s="24"/>
      <c r="B92" s="24">
        <f>IFERROR(INDEX(Materias!$C$3:$C$18,MATCH($A92,Materias!$B$3:$B$18,0)),"")</f>
      </c>
      <c r="C92" s="24"/>
      <c r="D92" s="24"/>
      <c r="E92" s="27"/>
      <c r="F92" s="24"/>
      <c r="G92" s="27">
        <f>IFERROR(INDEX(Criterios!$H$3:$H$302,MATCH($F92,Criterios!$C$3:$C$302,0)),"")</f>
      </c>
      <c r="H92" s="24"/>
      <c r="I92" s="27">
        <f>IFERROR(INDEX(Criterios!$H$3:$H$302,MATCH($H92,Criterios!$C$3:$C$302,0)),"")</f>
      </c>
      <c r="J92" s="24"/>
      <c r="K92" s="27"/>
      <c r="L92" s="24"/>
      <c r="M92" s="24"/>
      <c r="N92" s="24"/>
      <c r="O92" s="24"/>
      <c r="P92" s="24"/>
      <c r="Q92" s="73"/>
      <c r="R92" s="24"/>
      <c r="S92" s="24"/>
    </row>
    <row r="93" spans="1:19" x14ac:dyDescent="0.25">
      <c r="A93" s="24"/>
      <c r="B93" s="24">
        <f>IFERROR(INDEX(Materias!$C$3:$C$18,MATCH($A93,Materias!$B$3:$B$18,0)),"")</f>
      </c>
      <c r="C93" s="24"/>
      <c r="D93" s="24"/>
      <c r="E93" s="27"/>
      <c r="F93" s="24"/>
      <c r="G93" s="27">
        <f>IFERROR(INDEX(Criterios!$H$3:$H$302,MATCH($F93,Criterios!$C$3:$C$302,0)),"")</f>
      </c>
      <c r="H93" s="24"/>
      <c r="I93" s="27">
        <f>IFERROR(INDEX(Criterios!$H$3:$H$302,MATCH($H93,Criterios!$C$3:$C$302,0)),"")</f>
      </c>
      <c r="J93" s="24"/>
      <c r="K93" s="27"/>
      <c r="L93" s="24"/>
      <c r="M93" s="24"/>
      <c r="N93" s="24"/>
      <c r="O93" s="24"/>
      <c r="P93" s="24"/>
      <c r="Q93" s="73"/>
      <c r="R93" s="24"/>
      <c r="S93" s="24"/>
    </row>
    <row r="94" spans="1:19" x14ac:dyDescent="0.25">
      <c r="A94" s="24"/>
      <c r="B94" s="24">
        <f>IFERROR(INDEX(Materias!$C$3:$C$18,MATCH($A94,Materias!$B$3:$B$18,0)),"")</f>
      </c>
      <c r="C94" s="24"/>
      <c r="D94" s="24"/>
      <c r="E94" s="27"/>
      <c r="F94" s="24"/>
      <c r="G94" s="27">
        <f>IFERROR(INDEX(Criterios!$H$3:$H$302,MATCH($F94,Criterios!$C$3:$C$302,0)),"")</f>
      </c>
      <c r="H94" s="24"/>
      <c r="I94" s="27">
        <f>IFERROR(INDEX(Criterios!$H$3:$H$302,MATCH($H94,Criterios!$C$3:$C$302,0)),"")</f>
      </c>
      <c r="J94" s="24"/>
      <c r="K94" s="27"/>
      <c r="L94" s="24"/>
      <c r="M94" s="24"/>
      <c r="N94" s="24"/>
      <c r="O94" s="24"/>
      <c r="P94" s="24"/>
      <c r="Q94" s="73"/>
      <c r="R94" s="24"/>
      <c r="S94" s="24"/>
    </row>
    <row r="95" spans="1:19" x14ac:dyDescent="0.25">
      <c r="A95" s="24"/>
      <c r="B95" s="24">
        <f>IFERROR(INDEX(Materias!$C$3:$C$18,MATCH($A95,Materias!$B$3:$B$18,0)),"")</f>
      </c>
      <c r="C95" s="24"/>
      <c r="D95" s="24"/>
      <c r="E95" s="27"/>
      <c r="F95" s="24"/>
      <c r="G95" s="27">
        <f>IFERROR(INDEX(Criterios!$H$3:$H$302,MATCH($F95,Criterios!$C$3:$C$302,0)),"")</f>
      </c>
      <c r="H95" s="24"/>
      <c r="I95" s="27">
        <f>IFERROR(INDEX(Criterios!$H$3:$H$302,MATCH($H95,Criterios!$C$3:$C$302,0)),"")</f>
      </c>
      <c r="J95" s="24"/>
      <c r="K95" s="27"/>
      <c r="L95" s="24"/>
      <c r="M95" s="24"/>
      <c r="N95" s="24"/>
      <c r="O95" s="24"/>
      <c r="P95" s="24"/>
      <c r="Q95" s="73"/>
      <c r="R95" s="24"/>
      <c r="S95" s="24"/>
    </row>
    <row r="96" spans="1:19" x14ac:dyDescent="0.25">
      <c r="A96" s="24"/>
      <c r="B96" s="24">
        <f>IFERROR(INDEX(Materias!$C$3:$C$18,MATCH($A96,Materias!$B$3:$B$18,0)),"")</f>
      </c>
      <c r="C96" s="24"/>
      <c r="D96" s="24"/>
      <c r="E96" s="27"/>
      <c r="F96" s="24"/>
      <c r="G96" s="27">
        <f>IFERROR(INDEX(Criterios!$H$3:$H$302,MATCH($F96,Criterios!$C$3:$C$302,0)),"")</f>
      </c>
      <c r="H96" s="24"/>
      <c r="I96" s="27">
        <f>IFERROR(INDEX(Criterios!$H$3:$H$302,MATCH($H96,Criterios!$C$3:$C$302,0)),"")</f>
      </c>
      <c r="J96" s="24"/>
      <c r="K96" s="27"/>
      <c r="L96" s="24"/>
      <c r="M96" s="24"/>
      <c r="N96" s="24"/>
      <c r="O96" s="24"/>
      <c r="P96" s="24"/>
      <c r="Q96" s="73"/>
      <c r="R96" s="24"/>
      <c r="S96" s="24"/>
    </row>
    <row r="97" spans="1:19" x14ac:dyDescent="0.25">
      <c r="A97" s="24"/>
      <c r="B97" s="24">
        <f>IFERROR(INDEX(Materias!$C$3:$C$18,MATCH($A97,Materias!$B$3:$B$18,0)),"")</f>
      </c>
      <c r="C97" s="24"/>
      <c r="D97" s="24"/>
      <c r="E97" s="27"/>
      <c r="F97" s="24"/>
      <c r="G97" s="27">
        <f>IFERROR(INDEX(Criterios!$H$3:$H$302,MATCH($F97,Criterios!$C$3:$C$302,0)),"")</f>
      </c>
      <c r="H97" s="24"/>
      <c r="I97" s="27">
        <f>IFERROR(INDEX(Criterios!$H$3:$H$302,MATCH($H97,Criterios!$C$3:$C$302,0)),"")</f>
      </c>
      <c r="J97" s="24"/>
      <c r="K97" s="27"/>
      <c r="L97" s="24"/>
      <c r="M97" s="24"/>
      <c r="N97" s="24"/>
      <c r="O97" s="24"/>
      <c r="P97" s="24"/>
      <c r="Q97" s="73"/>
      <c r="R97" s="24"/>
      <c r="S97" s="24"/>
    </row>
    <row r="98" spans="1:19" x14ac:dyDescent="0.25">
      <c r="A98" s="24"/>
      <c r="B98" s="24">
        <f>IFERROR(INDEX(Materias!$C$3:$C$18,MATCH($A98,Materias!$B$3:$B$18,0)),"")</f>
      </c>
      <c r="C98" s="24"/>
      <c r="D98" s="24"/>
      <c r="E98" s="27"/>
      <c r="F98" s="24"/>
      <c r="G98" s="27">
        <f>IFERROR(INDEX(Criterios!$H$3:$H$302,MATCH($F98,Criterios!$C$3:$C$302,0)),"")</f>
      </c>
      <c r="H98" s="24"/>
      <c r="I98" s="27">
        <f>IFERROR(INDEX(Criterios!$H$3:$H$302,MATCH($H98,Criterios!$C$3:$C$302,0)),"")</f>
      </c>
      <c r="J98" s="24"/>
      <c r="K98" s="27"/>
      <c r="L98" s="24"/>
      <c r="M98" s="24"/>
      <c r="N98" s="24"/>
      <c r="O98" s="24"/>
      <c r="P98" s="24"/>
      <c r="Q98" s="73"/>
      <c r="R98" s="24"/>
      <c r="S98" s="24"/>
    </row>
    <row r="99" spans="1:19" x14ac:dyDescent="0.25">
      <c r="A99" s="24"/>
      <c r="B99" s="24">
        <f>IFERROR(INDEX(Materias!$C$3:$C$18,MATCH($A99,Materias!$B$3:$B$18,0)),"")</f>
      </c>
      <c r="C99" s="24"/>
      <c r="D99" s="24"/>
      <c r="E99" s="27"/>
      <c r="F99" s="24"/>
      <c r="G99" s="27">
        <f>IFERROR(INDEX(Criterios!$H$3:$H$302,MATCH($F99,Criterios!$C$3:$C$302,0)),"")</f>
      </c>
      <c r="H99" s="24"/>
      <c r="I99" s="27">
        <f>IFERROR(INDEX(Criterios!$H$3:$H$302,MATCH($H99,Criterios!$C$3:$C$302,0)),"")</f>
      </c>
      <c r="J99" s="24"/>
      <c r="K99" s="27"/>
      <c r="L99" s="24"/>
      <c r="M99" s="24"/>
      <c r="N99" s="24"/>
      <c r="O99" s="24"/>
      <c r="P99" s="24"/>
      <c r="Q99" s="73"/>
      <c r="R99" s="24"/>
      <c r="S99" s="24"/>
    </row>
    <row r="100" spans="1:19" x14ac:dyDescent="0.25">
      <c r="A100" s="24"/>
      <c r="B100" s="24">
        <f>IFERROR(INDEX(Materias!$C$3:$C$18,MATCH($A100,Materias!$B$3:$B$18,0)),"")</f>
      </c>
      <c r="C100" s="24"/>
      <c r="D100" s="24"/>
      <c r="E100" s="27"/>
      <c r="F100" s="24"/>
      <c r="G100" s="27">
        <f>IFERROR(INDEX(Criterios!$H$3:$H$302,MATCH($F100,Criterios!$C$3:$C$302,0)),"")</f>
      </c>
      <c r="H100" s="24"/>
      <c r="I100" s="27">
        <f>IFERROR(INDEX(Criterios!$H$3:$H$302,MATCH($H100,Criterios!$C$3:$C$302,0)),"")</f>
      </c>
      <c r="J100" s="24"/>
      <c r="K100" s="27"/>
      <c r="L100" s="24"/>
      <c r="M100" s="24"/>
      <c r="N100" s="24"/>
      <c r="O100" s="24"/>
      <c r="P100" s="24"/>
      <c r="Q100" s="73"/>
      <c r="R100" s="24"/>
      <c r="S100" s="24"/>
    </row>
    <row r="101" spans="1:19" x14ac:dyDescent="0.25">
      <c r="A101" s="24"/>
      <c r="B101" s="24">
        <f>IFERROR(INDEX(Materias!$C$3:$C$18,MATCH($A101,Materias!$B$3:$B$18,0)),"")</f>
      </c>
      <c r="C101" s="24"/>
      <c r="D101" s="24"/>
      <c r="E101" s="27"/>
      <c r="F101" s="24"/>
      <c r="G101" s="27">
        <f>IFERROR(INDEX(Criterios!$H$3:$H$302,MATCH($F101,Criterios!$C$3:$C$302,0)),"")</f>
      </c>
      <c r="H101" s="24"/>
      <c r="I101" s="27">
        <f>IFERROR(INDEX(Criterios!$H$3:$H$302,MATCH($H101,Criterios!$C$3:$C$302,0)),"")</f>
      </c>
      <c r="J101" s="24"/>
      <c r="K101" s="27"/>
      <c r="L101" s="24"/>
      <c r="M101" s="24"/>
      <c r="N101" s="24"/>
      <c r="O101" s="24"/>
      <c r="P101" s="24"/>
      <c r="Q101" s="73"/>
      <c r="R101" s="24"/>
      <c r="S101" s="24"/>
    </row>
    <row r="102" spans="1:19" x14ac:dyDescent="0.25">
      <c r="A102" s="24"/>
      <c r="B102" s="24">
        <f>IFERROR(INDEX(Materias!$C$3:$C$18,MATCH($A102,Materias!$B$3:$B$18,0)),"")</f>
      </c>
      <c r="C102" s="24"/>
      <c r="D102" s="24"/>
      <c r="E102" s="27"/>
      <c r="F102" s="24"/>
      <c r="G102" s="27">
        <f>IFERROR(INDEX(Criterios!$H$3:$H$302,MATCH($F102,Criterios!$C$3:$C$302,0)),"")</f>
      </c>
      <c r="H102" s="24"/>
      <c r="I102" s="27">
        <f>IFERROR(INDEX(Criterios!$H$3:$H$302,MATCH($H102,Criterios!$C$3:$C$302,0)),"")</f>
      </c>
      <c r="J102" s="24"/>
      <c r="K102" s="27"/>
      <c r="L102" s="24"/>
      <c r="M102" s="24"/>
      <c r="N102" s="24"/>
      <c r="O102" s="24"/>
      <c r="P102" s="24"/>
      <c r="Q102" s="73"/>
      <c r="R102" s="24"/>
      <c r="S102" s="24"/>
    </row>
    <row r="103" spans="1:19" x14ac:dyDescent="0.25">
      <c r="A103" s="24"/>
      <c r="B103" s="24">
        <f>IFERROR(INDEX(Materias!$C$3:$C$18,MATCH($A103,Materias!$B$3:$B$18,0)),"")</f>
      </c>
      <c r="C103" s="24"/>
      <c r="D103" s="24"/>
      <c r="E103" s="27"/>
      <c r="F103" s="24"/>
      <c r="G103" s="27">
        <f>IFERROR(INDEX(Criterios!$H$3:$H$302,MATCH($F103,Criterios!$C$3:$C$302,0)),"")</f>
      </c>
      <c r="H103" s="24"/>
      <c r="I103" s="27">
        <f>IFERROR(INDEX(Criterios!$H$3:$H$302,MATCH($H103,Criterios!$C$3:$C$302,0)),"")</f>
      </c>
      <c r="J103" s="24"/>
      <c r="K103" s="27"/>
      <c r="L103" s="24"/>
      <c r="M103" s="24"/>
      <c r="N103" s="24"/>
      <c r="O103" s="24"/>
      <c r="P103" s="24"/>
      <c r="Q103" s="73"/>
      <c r="R103" s="24"/>
      <c r="S103" s="24"/>
    </row>
    <row r="104" spans="1:19" x14ac:dyDescent="0.25">
      <c r="A104" s="24"/>
      <c r="B104" s="24">
        <f>IFERROR(INDEX(Materias!$C$3:$C$18,MATCH($A104,Materias!$B$3:$B$18,0)),"")</f>
      </c>
      <c r="C104" s="24"/>
      <c r="D104" s="24"/>
      <c r="E104" s="27"/>
      <c r="F104" s="24"/>
      <c r="G104" s="27">
        <f>IFERROR(INDEX(Criterios!$H$3:$H$302,MATCH($F104,Criterios!$C$3:$C$302,0)),"")</f>
      </c>
      <c r="H104" s="24"/>
      <c r="I104" s="27">
        <f>IFERROR(INDEX(Criterios!$H$3:$H$302,MATCH($H104,Criterios!$C$3:$C$302,0)),"")</f>
      </c>
      <c r="J104" s="24"/>
      <c r="K104" s="27"/>
      <c r="L104" s="24"/>
      <c r="M104" s="24"/>
      <c r="N104" s="24"/>
      <c r="O104" s="24"/>
      <c r="P104" s="24"/>
      <c r="Q104" s="73"/>
      <c r="R104" s="24"/>
      <c r="S104" s="24"/>
    </row>
    <row r="105" spans="1:19" x14ac:dyDescent="0.25">
      <c r="A105" s="24"/>
      <c r="B105" s="24">
        <f>IFERROR(INDEX(Materias!$C$3:$C$18,MATCH($A105,Materias!$B$3:$B$18,0)),"")</f>
      </c>
      <c r="C105" s="24"/>
      <c r="D105" s="24"/>
      <c r="E105" s="27"/>
      <c r="F105" s="24"/>
      <c r="G105" s="27">
        <f>IFERROR(INDEX(Criterios!$H$3:$H$302,MATCH($F105,Criterios!$C$3:$C$302,0)),"")</f>
      </c>
      <c r="H105" s="24"/>
      <c r="I105" s="27">
        <f>IFERROR(INDEX(Criterios!$H$3:$H$302,MATCH($H105,Criterios!$C$3:$C$302,0)),"")</f>
      </c>
      <c r="J105" s="24"/>
      <c r="K105" s="27"/>
      <c r="L105" s="24"/>
      <c r="M105" s="24"/>
      <c r="N105" s="24"/>
      <c r="O105" s="24"/>
      <c r="P105" s="24"/>
      <c r="Q105" s="73"/>
      <c r="R105" s="24"/>
      <c r="S105" s="24"/>
    </row>
    <row r="106" spans="1:19" x14ac:dyDescent="0.25">
      <c r="A106" s="24"/>
      <c r="B106" s="24">
        <f>IFERROR(INDEX(Materias!$C$3:$C$18,MATCH($A106,Materias!$B$3:$B$18,0)),"")</f>
      </c>
      <c r="C106" s="24"/>
      <c r="D106" s="24"/>
      <c r="E106" s="27"/>
      <c r="F106" s="24"/>
      <c r="G106" s="27">
        <f>IFERROR(INDEX(Criterios!$H$3:$H$302,MATCH($F106,Criterios!$C$3:$C$302,0)),"")</f>
      </c>
      <c r="H106" s="24"/>
      <c r="I106" s="27">
        <f>IFERROR(INDEX(Criterios!$H$3:$H$302,MATCH($H106,Criterios!$C$3:$C$302,0)),"")</f>
      </c>
      <c r="J106" s="24"/>
      <c r="K106" s="27"/>
      <c r="L106" s="24"/>
      <c r="M106" s="24"/>
      <c r="N106" s="24"/>
      <c r="O106" s="24"/>
      <c r="P106" s="24"/>
      <c r="Q106" s="73"/>
      <c r="R106" s="24"/>
      <c r="S106" s="24"/>
    </row>
    <row r="107" spans="1:19" x14ac:dyDescent="0.25">
      <c r="A107" s="24"/>
      <c r="B107" s="24">
        <f>IFERROR(INDEX(Materias!$C$3:$C$18,MATCH($A107,Materias!$B$3:$B$18,0)),"")</f>
      </c>
      <c r="C107" s="24"/>
      <c r="D107" s="24"/>
      <c r="E107" s="27"/>
      <c r="F107" s="24"/>
      <c r="G107" s="27">
        <f>IFERROR(INDEX(Criterios!$H$3:$H$302,MATCH($F107,Criterios!$C$3:$C$302,0)),"")</f>
      </c>
      <c r="H107" s="24"/>
      <c r="I107" s="27">
        <f>IFERROR(INDEX(Criterios!$H$3:$H$302,MATCH($H107,Criterios!$C$3:$C$302,0)),"")</f>
      </c>
      <c r="J107" s="24"/>
      <c r="K107" s="27"/>
      <c r="L107" s="24"/>
      <c r="M107" s="24"/>
      <c r="N107" s="24"/>
      <c r="O107" s="24"/>
      <c r="P107" s="24"/>
      <c r="Q107" s="73"/>
      <c r="R107" s="24"/>
      <c r="S107" s="24"/>
    </row>
    <row r="108" spans="1:19" x14ac:dyDescent="0.25">
      <c r="A108" s="24"/>
      <c r="B108" s="24">
        <f>IFERROR(INDEX(Materias!$C$3:$C$18,MATCH($A108,Materias!$B$3:$B$18,0)),"")</f>
      </c>
      <c r="C108" s="24"/>
      <c r="D108" s="24"/>
      <c r="E108" s="27"/>
      <c r="F108" s="24"/>
      <c r="G108" s="27">
        <f>IFERROR(INDEX(Criterios!$H$3:$H$302,MATCH($F108,Criterios!$C$3:$C$302,0)),"")</f>
      </c>
      <c r="H108" s="24"/>
      <c r="I108" s="27">
        <f>IFERROR(INDEX(Criterios!$H$3:$H$302,MATCH($H108,Criterios!$C$3:$C$302,0)),"")</f>
      </c>
      <c r="J108" s="24"/>
      <c r="K108" s="27"/>
      <c r="L108" s="24"/>
      <c r="M108" s="24"/>
      <c r="N108" s="24"/>
      <c r="O108" s="24"/>
      <c r="P108" s="24"/>
      <c r="Q108" s="73"/>
      <c r="R108" s="24"/>
      <c r="S108" s="24"/>
    </row>
    <row r="109" spans="1:19" x14ac:dyDescent="0.25">
      <c r="A109" s="24"/>
      <c r="B109" s="24">
        <f>IFERROR(INDEX(Materias!$C$3:$C$18,MATCH($A109,Materias!$B$3:$B$18,0)),"")</f>
      </c>
      <c r="C109" s="24"/>
      <c r="D109" s="24"/>
      <c r="E109" s="27"/>
      <c r="F109" s="24"/>
      <c r="G109" s="27">
        <f>IFERROR(INDEX(Criterios!$H$3:$H$302,MATCH($F109,Criterios!$C$3:$C$302,0)),"")</f>
      </c>
      <c r="H109" s="24"/>
      <c r="I109" s="27">
        <f>IFERROR(INDEX(Criterios!$H$3:$H$302,MATCH($H109,Criterios!$C$3:$C$302,0)),"")</f>
      </c>
      <c r="J109" s="24"/>
      <c r="K109" s="27"/>
      <c r="L109" s="24"/>
      <c r="M109" s="24"/>
      <c r="N109" s="24"/>
      <c r="O109" s="24"/>
      <c r="P109" s="24"/>
      <c r="Q109" s="73"/>
      <c r="R109" s="24"/>
      <c r="S109" s="24"/>
    </row>
    <row r="110" spans="1:19" x14ac:dyDescent="0.25">
      <c r="A110" s="24"/>
      <c r="B110" s="24">
        <f>IFERROR(INDEX(Materias!$C$3:$C$18,MATCH($A110,Materias!$B$3:$B$18,0)),"")</f>
      </c>
      <c r="C110" s="24"/>
      <c r="D110" s="24"/>
      <c r="E110" s="27"/>
      <c r="F110" s="24"/>
      <c r="G110" s="27">
        <f>IFERROR(INDEX(Criterios!$H$3:$H$302,MATCH($F110,Criterios!$C$3:$C$302,0)),"")</f>
      </c>
      <c r="H110" s="24"/>
      <c r="I110" s="27">
        <f>IFERROR(INDEX(Criterios!$H$3:$H$302,MATCH($H110,Criterios!$C$3:$C$302,0)),"")</f>
      </c>
      <c r="J110" s="24"/>
      <c r="K110" s="27"/>
      <c r="L110" s="24"/>
      <c r="M110" s="24"/>
      <c r="N110" s="24"/>
      <c r="O110" s="24"/>
      <c r="P110" s="24"/>
      <c r="Q110" s="73"/>
      <c r="R110" s="24"/>
      <c r="S110" s="24"/>
    </row>
    <row r="111" spans="1:19" x14ac:dyDescent="0.25">
      <c r="A111" s="24"/>
      <c r="B111" s="24">
        <f>IFERROR(INDEX(Materias!$C$3:$C$18,MATCH($A111,Materias!$B$3:$B$18,0)),"")</f>
      </c>
      <c r="C111" s="24"/>
      <c r="D111" s="24"/>
      <c r="E111" s="27"/>
      <c r="F111" s="24"/>
      <c r="G111" s="27">
        <f>IFERROR(INDEX(Criterios!$H$3:$H$302,MATCH($F111,Criterios!$C$3:$C$302,0)),"")</f>
      </c>
      <c r="H111" s="24"/>
      <c r="I111" s="27">
        <f>IFERROR(INDEX(Criterios!$H$3:$H$302,MATCH($H111,Criterios!$C$3:$C$302,0)),"")</f>
      </c>
      <c r="J111" s="24"/>
      <c r="K111" s="27"/>
      <c r="L111" s="24"/>
      <c r="M111" s="24"/>
      <c r="N111" s="24"/>
      <c r="O111" s="24"/>
      <c r="P111" s="24"/>
      <c r="Q111" s="73"/>
      <c r="R111" s="24"/>
      <c r="S111" s="24"/>
    </row>
    <row r="112" spans="1:19" x14ac:dyDescent="0.25">
      <c r="A112" s="24"/>
      <c r="B112" s="24">
        <f>IFERROR(INDEX(Materias!$C$3:$C$18,MATCH($A112,Materias!$B$3:$B$18,0)),"")</f>
      </c>
      <c r="C112" s="24"/>
      <c r="D112" s="24"/>
      <c r="E112" s="27"/>
      <c r="F112" s="24"/>
      <c r="G112" s="27">
        <f>IFERROR(INDEX(Criterios!$H$3:$H$302,MATCH($F112,Criterios!$C$3:$C$302,0)),"")</f>
      </c>
      <c r="H112" s="24"/>
      <c r="I112" s="27">
        <f>IFERROR(INDEX(Criterios!$H$3:$H$302,MATCH($H112,Criterios!$C$3:$C$302,0)),"")</f>
      </c>
      <c r="J112" s="24"/>
      <c r="K112" s="27"/>
      <c r="L112" s="24"/>
      <c r="M112" s="24"/>
      <c r="N112" s="24"/>
      <c r="O112" s="24"/>
      <c r="P112" s="24"/>
      <c r="Q112" s="73"/>
      <c r="R112" s="24"/>
      <c r="S112" s="24"/>
    </row>
    <row r="113" spans="1:19" x14ac:dyDescent="0.25">
      <c r="A113" s="24"/>
      <c r="B113" s="24">
        <f>IFERROR(INDEX(Materias!$C$3:$C$18,MATCH($A113,Materias!$B$3:$B$18,0)),"")</f>
      </c>
      <c r="C113" s="24"/>
      <c r="D113" s="24"/>
      <c r="E113" s="27"/>
      <c r="F113" s="24"/>
      <c r="G113" s="27">
        <f>IFERROR(INDEX(Criterios!$H$3:$H$302,MATCH($F113,Criterios!$C$3:$C$302,0)),"")</f>
      </c>
      <c r="H113" s="24"/>
      <c r="I113" s="27">
        <f>IFERROR(INDEX(Criterios!$H$3:$H$302,MATCH($H113,Criterios!$C$3:$C$302,0)),"")</f>
      </c>
      <c r="J113" s="24"/>
      <c r="K113" s="27"/>
      <c r="L113" s="24"/>
      <c r="M113" s="24"/>
      <c r="N113" s="24"/>
      <c r="O113" s="24"/>
      <c r="P113" s="24"/>
      <c r="Q113" s="73"/>
      <c r="R113" s="24"/>
      <c r="S113" s="24"/>
    </row>
    <row r="114" spans="1:19" x14ac:dyDescent="0.25">
      <c r="A114" s="24"/>
      <c r="B114" s="24">
        <f>IFERROR(INDEX(Materias!$C$3:$C$18,MATCH($A114,Materias!$B$3:$B$18,0)),"")</f>
      </c>
      <c r="C114" s="24"/>
      <c r="D114" s="24"/>
      <c r="E114" s="27"/>
      <c r="F114" s="24"/>
      <c r="G114" s="27">
        <f>IFERROR(INDEX(Criterios!$H$3:$H$302,MATCH($F114,Criterios!$C$3:$C$302,0)),"")</f>
      </c>
      <c r="H114" s="24"/>
      <c r="I114" s="27">
        <f>IFERROR(INDEX(Criterios!$H$3:$H$302,MATCH($H114,Criterios!$C$3:$C$302,0)),"")</f>
      </c>
      <c r="J114" s="24"/>
      <c r="K114" s="27"/>
      <c r="L114" s="24"/>
      <c r="M114" s="24"/>
      <c r="N114" s="24"/>
      <c r="O114" s="24"/>
      <c r="P114" s="24"/>
      <c r="Q114" s="73"/>
      <c r="R114" s="24"/>
      <c r="S114" s="24"/>
    </row>
    <row r="115" spans="1:19" x14ac:dyDescent="0.25">
      <c r="A115" s="24"/>
      <c r="B115" s="24">
        <f>IFERROR(INDEX(Materias!$C$3:$C$18,MATCH($A115,Materias!$B$3:$B$18,0)),"")</f>
      </c>
      <c r="C115" s="24"/>
      <c r="D115" s="24"/>
      <c r="E115" s="27"/>
      <c r="F115" s="24"/>
      <c r="G115" s="27">
        <f>IFERROR(INDEX(Criterios!$H$3:$H$302,MATCH($F115,Criterios!$C$3:$C$302,0)),"")</f>
      </c>
      <c r="H115" s="24"/>
      <c r="I115" s="27">
        <f>IFERROR(INDEX(Criterios!$H$3:$H$302,MATCH($H115,Criterios!$C$3:$C$302,0)),"")</f>
      </c>
      <c r="J115" s="24"/>
      <c r="K115" s="27"/>
      <c r="L115" s="24"/>
      <c r="M115" s="24"/>
      <c r="N115" s="24"/>
      <c r="O115" s="24"/>
      <c r="P115" s="24"/>
      <c r="Q115" s="73"/>
      <c r="R115" s="24"/>
      <c r="S115" s="24"/>
    </row>
    <row r="116" spans="1:19" x14ac:dyDescent="0.25">
      <c r="A116" s="24"/>
      <c r="B116" s="24">
        <f>IFERROR(INDEX(Materias!$C$3:$C$18,MATCH($A116,Materias!$B$3:$B$18,0)),"")</f>
      </c>
      <c r="C116" s="24"/>
      <c r="D116" s="24"/>
      <c r="E116" s="27"/>
      <c r="F116" s="24"/>
      <c r="G116" s="27">
        <f>IFERROR(INDEX(Criterios!$H$3:$H$302,MATCH($F116,Criterios!$C$3:$C$302,0)),"")</f>
      </c>
      <c r="H116" s="24"/>
      <c r="I116" s="27">
        <f>IFERROR(INDEX(Criterios!$H$3:$H$302,MATCH($H116,Criterios!$C$3:$C$302,0)),"")</f>
      </c>
      <c r="J116" s="24"/>
      <c r="K116" s="27"/>
      <c r="L116" s="24"/>
      <c r="M116" s="24"/>
      <c r="N116" s="24"/>
      <c r="O116" s="24"/>
      <c r="P116" s="24"/>
      <c r="Q116" s="73"/>
      <c r="R116" s="24"/>
      <c r="S116" s="24"/>
    </row>
    <row r="117" spans="1:19" x14ac:dyDescent="0.25">
      <c r="A117" s="24"/>
      <c r="B117" s="24">
        <f>IFERROR(INDEX(Materias!$C$3:$C$18,MATCH($A117,Materias!$B$3:$B$18,0)),"")</f>
      </c>
      <c r="C117" s="24"/>
      <c r="D117" s="24"/>
      <c r="E117" s="27"/>
      <c r="F117" s="24"/>
      <c r="G117" s="27">
        <f>IFERROR(INDEX(Criterios!$H$3:$H$302,MATCH($F117,Criterios!$C$3:$C$302,0)),"")</f>
      </c>
      <c r="H117" s="24"/>
      <c r="I117" s="27">
        <f>IFERROR(INDEX(Criterios!$H$3:$H$302,MATCH($H117,Criterios!$C$3:$C$302,0)),"")</f>
      </c>
      <c r="J117" s="24"/>
      <c r="K117" s="27"/>
      <c r="L117" s="24"/>
      <c r="M117" s="24"/>
      <c r="N117" s="24"/>
      <c r="O117" s="24"/>
      <c r="P117" s="24"/>
      <c r="Q117" s="73"/>
      <c r="R117" s="24"/>
      <c r="S117" s="24"/>
    </row>
    <row r="118" spans="1:19" x14ac:dyDescent="0.25">
      <c r="A118" s="24"/>
      <c r="B118" s="24">
        <f>IFERROR(INDEX(Materias!$C$3:$C$18,MATCH($A118,Materias!$B$3:$B$18,0)),"")</f>
      </c>
      <c r="C118" s="24"/>
      <c r="D118" s="24"/>
      <c r="E118" s="27"/>
      <c r="F118" s="24"/>
      <c r="G118" s="27">
        <f>IFERROR(INDEX(Criterios!$H$3:$H$302,MATCH($F118,Criterios!$C$3:$C$302,0)),"")</f>
      </c>
      <c r="H118" s="24"/>
      <c r="I118" s="27">
        <f>IFERROR(INDEX(Criterios!$H$3:$H$302,MATCH($H118,Criterios!$C$3:$C$302,0)),"")</f>
      </c>
      <c r="J118" s="24"/>
      <c r="K118" s="27"/>
      <c r="L118" s="24"/>
      <c r="M118" s="24"/>
      <c r="N118" s="24"/>
      <c r="O118" s="24"/>
      <c r="P118" s="24"/>
      <c r="Q118" s="73"/>
      <c r="R118" s="24"/>
      <c r="S118" s="24"/>
    </row>
    <row r="119" spans="1:19" x14ac:dyDescent="0.25">
      <c r="A119" s="24"/>
      <c r="B119" s="24">
        <f>IFERROR(INDEX(Materias!$C$3:$C$18,MATCH($A119,Materias!$B$3:$B$18,0)),"")</f>
      </c>
      <c r="C119" s="24"/>
      <c r="D119" s="24"/>
      <c r="E119" s="27"/>
      <c r="F119" s="24"/>
      <c r="G119" s="27">
        <f>IFERROR(INDEX(Criterios!$H$3:$H$302,MATCH($F119,Criterios!$C$3:$C$302,0)),"")</f>
      </c>
      <c r="H119" s="24"/>
      <c r="I119" s="27">
        <f>IFERROR(INDEX(Criterios!$H$3:$H$302,MATCH($H119,Criterios!$C$3:$C$302,0)),"")</f>
      </c>
      <c r="J119" s="24"/>
      <c r="K119" s="27"/>
      <c r="L119" s="24"/>
      <c r="M119" s="24"/>
      <c r="N119" s="24"/>
      <c r="O119" s="24"/>
      <c r="P119" s="24"/>
      <c r="Q119" s="73"/>
      <c r="R119" s="24"/>
      <c r="S119" s="24"/>
    </row>
    <row r="120" spans="1:19" x14ac:dyDescent="0.25">
      <c r="A120" s="24"/>
      <c r="B120" s="24">
        <f>IFERROR(INDEX(Materias!$C$3:$C$18,MATCH($A120,Materias!$B$3:$B$18,0)),"")</f>
      </c>
      <c r="C120" s="24"/>
      <c r="D120" s="24"/>
      <c r="E120" s="27"/>
      <c r="F120" s="24"/>
      <c r="G120" s="27">
        <f>IFERROR(INDEX(Criterios!$H$3:$H$302,MATCH($F120,Criterios!$C$3:$C$302,0)),"")</f>
      </c>
      <c r="H120" s="24"/>
      <c r="I120" s="27">
        <f>IFERROR(INDEX(Criterios!$H$3:$H$302,MATCH($H120,Criterios!$C$3:$C$302,0)),"")</f>
      </c>
      <c r="J120" s="24"/>
      <c r="K120" s="27"/>
      <c r="L120" s="24"/>
      <c r="M120" s="24"/>
      <c r="N120" s="24"/>
      <c r="O120" s="24"/>
      <c r="P120" s="24"/>
      <c r="Q120" s="73"/>
      <c r="R120" s="24"/>
      <c r="S120" s="24"/>
    </row>
    <row r="121" spans="1:19" x14ac:dyDescent="0.25">
      <c r="A121" s="24"/>
      <c r="B121" s="24">
        <f>IFERROR(INDEX(Materias!$C$3:$C$18,MATCH($A121,Materias!$B$3:$B$18,0)),"")</f>
      </c>
      <c r="C121" s="24"/>
      <c r="D121" s="24"/>
      <c r="E121" s="27"/>
      <c r="F121" s="24"/>
      <c r="G121" s="27">
        <f>IFERROR(INDEX(Criterios!$H$3:$H$302,MATCH($F121,Criterios!$C$3:$C$302,0)),"")</f>
      </c>
      <c r="H121" s="24"/>
      <c r="I121" s="27">
        <f>IFERROR(INDEX(Criterios!$H$3:$H$302,MATCH($H121,Criterios!$C$3:$C$302,0)),"")</f>
      </c>
      <c r="J121" s="24"/>
      <c r="K121" s="27"/>
      <c r="L121" s="24"/>
      <c r="M121" s="24"/>
      <c r="N121" s="24"/>
      <c r="O121" s="24"/>
      <c r="P121" s="24"/>
      <c r="Q121" s="73"/>
      <c r="R121" s="24"/>
      <c r="S121" s="24"/>
    </row>
    <row r="122" spans="1:19" x14ac:dyDescent="0.25">
      <c r="A122" s="24"/>
      <c r="B122" s="24">
        <f>IFERROR(INDEX(Materias!$C$3:$C$18,MATCH($A122,Materias!$B$3:$B$18,0)),"")</f>
      </c>
      <c r="C122" s="24"/>
      <c r="D122" s="24"/>
      <c r="E122" s="27"/>
      <c r="F122" s="24"/>
      <c r="G122" s="27">
        <f>IFERROR(INDEX(Criterios!$H$3:$H$302,MATCH($F122,Criterios!$C$3:$C$302,0)),"")</f>
      </c>
      <c r="H122" s="24"/>
      <c r="I122" s="27">
        <f>IFERROR(INDEX(Criterios!$H$3:$H$302,MATCH($H122,Criterios!$C$3:$C$302,0)),"")</f>
      </c>
      <c r="J122" s="24"/>
      <c r="K122" s="27"/>
      <c r="L122" s="24"/>
      <c r="M122" s="24"/>
      <c r="N122" s="24"/>
      <c r="O122" s="24"/>
      <c r="P122" s="24"/>
      <c r="Q122" s="73"/>
      <c r="R122" s="24"/>
      <c r="S122" s="24"/>
    </row>
    <row r="123" spans="1:19" x14ac:dyDescent="0.25">
      <c r="A123" s="24"/>
      <c r="B123" s="24">
        <f>IFERROR(INDEX(Materias!$C$3:$C$18,MATCH($A123,Materias!$B$3:$B$18,0)),"")</f>
      </c>
      <c r="C123" s="24"/>
      <c r="D123" s="24"/>
      <c r="E123" s="27"/>
      <c r="F123" s="24"/>
      <c r="G123" s="27">
        <f>IFERROR(INDEX(Criterios!$H$3:$H$302,MATCH($F123,Criterios!$C$3:$C$302,0)),"")</f>
      </c>
      <c r="H123" s="24"/>
      <c r="I123" s="27">
        <f>IFERROR(INDEX(Criterios!$H$3:$H$302,MATCH($H123,Criterios!$C$3:$C$302,0)),"")</f>
      </c>
      <c r="J123" s="24"/>
      <c r="K123" s="27"/>
      <c r="L123" s="24"/>
      <c r="M123" s="24"/>
      <c r="N123" s="24"/>
      <c r="O123" s="24"/>
      <c r="P123" s="24"/>
      <c r="Q123" s="73"/>
      <c r="R123" s="24"/>
      <c r="S123" s="24"/>
    </row>
    <row r="124" spans="1:19" x14ac:dyDescent="0.25">
      <c r="A124" s="24"/>
      <c r="B124" s="24">
        <f>IFERROR(INDEX(Materias!$C$3:$C$18,MATCH($A124,Materias!$B$3:$B$18,0)),"")</f>
      </c>
      <c r="C124" s="24"/>
      <c r="D124" s="24"/>
      <c r="E124" s="27"/>
      <c r="F124" s="24"/>
      <c r="G124" s="27">
        <f>IFERROR(INDEX(Criterios!$H$3:$H$302,MATCH($F124,Criterios!$C$3:$C$302,0)),"")</f>
      </c>
      <c r="H124" s="24"/>
      <c r="I124" s="27">
        <f>IFERROR(INDEX(Criterios!$H$3:$H$302,MATCH($H124,Criterios!$C$3:$C$302,0)),"")</f>
      </c>
      <c r="J124" s="24"/>
      <c r="K124" s="27"/>
      <c r="L124" s="24"/>
      <c r="M124" s="24"/>
      <c r="N124" s="24"/>
      <c r="O124" s="24"/>
      <c r="P124" s="24"/>
      <c r="Q124" s="73"/>
      <c r="R124" s="24"/>
      <c r="S124" s="24"/>
    </row>
    <row r="125" spans="1:19" x14ac:dyDescent="0.25">
      <c r="A125" s="24"/>
      <c r="B125" s="24">
        <f>IFERROR(INDEX(Materias!$C$3:$C$18,MATCH($A125,Materias!$B$3:$B$18,0)),"")</f>
      </c>
      <c r="C125" s="24"/>
      <c r="D125" s="24"/>
      <c r="E125" s="27"/>
      <c r="F125" s="24"/>
      <c r="G125" s="27">
        <f>IFERROR(INDEX(Criterios!$H$3:$H$302,MATCH($F125,Criterios!$C$3:$C$302,0)),"")</f>
      </c>
      <c r="H125" s="24"/>
      <c r="I125" s="27">
        <f>IFERROR(INDEX(Criterios!$H$3:$H$302,MATCH($H125,Criterios!$C$3:$C$302,0)),"")</f>
      </c>
      <c r="J125" s="24"/>
      <c r="K125" s="27"/>
      <c r="L125" s="24"/>
      <c r="M125" s="24"/>
      <c r="N125" s="24"/>
      <c r="O125" s="24"/>
      <c r="P125" s="24"/>
      <c r="Q125" s="73"/>
      <c r="R125" s="24"/>
      <c r="S125" s="24"/>
    </row>
    <row r="126" spans="1:19" x14ac:dyDescent="0.25">
      <c r="A126" s="24"/>
      <c r="B126" s="24">
        <f>IFERROR(INDEX(Materias!$C$3:$C$18,MATCH($A126,Materias!$B$3:$B$18,0)),"")</f>
      </c>
      <c r="C126" s="24"/>
      <c r="D126" s="24"/>
      <c r="E126" s="27"/>
      <c r="F126" s="24"/>
      <c r="G126" s="27">
        <f>IFERROR(INDEX(Criterios!$H$3:$H$302,MATCH($F126,Criterios!$C$3:$C$302,0)),"")</f>
      </c>
      <c r="H126" s="24"/>
      <c r="I126" s="27">
        <f>IFERROR(INDEX(Criterios!$H$3:$H$302,MATCH($H126,Criterios!$C$3:$C$302,0)),"")</f>
      </c>
      <c r="J126" s="24"/>
      <c r="K126" s="27"/>
      <c r="L126" s="24"/>
      <c r="M126" s="24"/>
      <c r="N126" s="24"/>
      <c r="O126" s="24"/>
      <c r="P126" s="24"/>
      <c r="Q126" s="73"/>
      <c r="R126" s="24"/>
      <c r="S126" s="24"/>
    </row>
    <row r="127" spans="1:19" x14ac:dyDescent="0.25">
      <c r="A127" s="24"/>
      <c r="B127" s="24">
        <f>IFERROR(INDEX(Materias!$C$3:$C$18,MATCH($A127,Materias!$B$3:$B$18,0)),"")</f>
      </c>
      <c r="C127" s="24"/>
      <c r="D127" s="24"/>
      <c r="E127" s="27"/>
      <c r="F127" s="24"/>
      <c r="G127" s="27">
        <f>IFERROR(INDEX(Criterios!$H$3:$H$302,MATCH($F127,Criterios!$C$3:$C$302,0)),"")</f>
      </c>
      <c r="H127" s="24"/>
      <c r="I127" s="27">
        <f>IFERROR(INDEX(Criterios!$H$3:$H$302,MATCH($H127,Criterios!$C$3:$C$302,0)),"")</f>
      </c>
      <c r="J127" s="24"/>
      <c r="K127" s="27"/>
      <c r="L127" s="24"/>
      <c r="M127" s="24"/>
      <c r="N127" s="24"/>
      <c r="O127" s="24"/>
      <c r="P127" s="24"/>
      <c r="Q127" s="73"/>
      <c r="R127" s="24"/>
      <c r="S127" s="24"/>
    </row>
    <row r="128" spans="1:19" x14ac:dyDescent="0.25">
      <c r="A128" s="24"/>
      <c r="B128" s="24">
        <f>IFERROR(INDEX(Materias!$C$3:$C$18,MATCH($A128,Materias!$B$3:$B$18,0)),"")</f>
      </c>
      <c r="C128" s="24"/>
      <c r="D128" s="24"/>
      <c r="E128" s="27"/>
      <c r="F128" s="24"/>
      <c r="G128" s="27">
        <f>IFERROR(INDEX(Criterios!$H$3:$H$302,MATCH($F128,Criterios!$C$3:$C$302,0)),"")</f>
      </c>
      <c r="H128" s="24"/>
      <c r="I128" s="27">
        <f>IFERROR(INDEX(Criterios!$H$3:$H$302,MATCH($H128,Criterios!$C$3:$C$302,0)),"")</f>
      </c>
      <c r="J128" s="24"/>
      <c r="K128" s="27"/>
      <c r="L128" s="24"/>
      <c r="M128" s="24"/>
      <c r="N128" s="24"/>
      <c r="O128" s="24"/>
      <c r="P128" s="24"/>
      <c r="Q128" s="73"/>
      <c r="R128" s="24"/>
      <c r="S128" s="24"/>
    </row>
    <row r="129" spans="1:19" x14ac:dyDescent="0.25">
      <c r="A129" s="24"/>
      <c r="B129" s="24">
        <f>IFERROR(INDEX(Materias!$C$3:$C$18,MATCH($A129,Materias!$B$3:$B$18,0)),"")</f>
      </c>
      <c r="C129" s="24"/>
      <c r="D129" s="24"/>
      <c r="E129" s="27"/>
      <c r="F129" s="24"/>
      <c r="G129" s="27">
        <f>IFERROR(INDEX(Criterios!$H$3:$H$302,MATCH($F129,Criterios!$C$3:$C$302,0)),"")</f>
      </c>
      <c r="H129" s="24"/>
      <c r="I129" s="27">
        <f>IFERROR(INDEX(Criterios!$H$3:$H$302,MATCH($H129,Criterios!$C$3:$C$302,0)),"")</f>
      </c>
      <c r="J129" s="24"/>
      <c r="K129" s="27"/>
      <c r="L129" s="24"/>
      <c r="M129" s="24"/>
      <c r="N129" s="24"/>
      <c r="O129" s="24"/>
      <c r="P129" s="24"/>
      <c r="Q129" s="73"/>
      <c r="R129" s="24"/>
      <c r="S129" s="24"/>
    </row>
    <row r="130" spans="1:19" x14ac:dyDescent="0.25">
      <c r="A130" s="24"/>
      <c r="B130" s="24">
        <f>IFERROR(INDEX(Materias!$C$3:$C$18,MATCH($A130,Materias!$B$3:$B$18,0)),"")</f>
      </c>
      <c r="C130" s="24"/>
      <c r="D130" s="24"/>
      <c r="E130" s="27"/>
      <c r="F130" s="24"/>
      <c r="G130" s="27">
        <f>IFERROR(INDEX(Criterios!$H$3:$H$302,MATCH($F130,Criterios!$C$3:$C$302,0)),"")</f>
      </c>
      <c r="H130" s="24"/>
      <c r="I130" s="27">
        <f>IFERROR(INDEX(Criterios!$H$3:$H$302,MATCH($H130,Criterios!$C$3:$C$302,0)),"")</f>
      </c>
      <c r="J130" s="24"/>
      <c r="K130" s="27"/>
      <c r="L130" s="24"/>
      <c r="M130" s="24"/>
      <c r="N130" s="24"/>
      <c r="O130" s="24"/>
      <c r="P130" s="24"/>
      <c r="Q130" s="73"/>
      <c r="R130" s="24"/>
      <c r="S130" s="24"/>
    </row>
    <row r="131" spans="1:19" x14ac:dyDescent="0.25">
      <c r="A131" s="24"/>
      <c r="B131" s="24">
        <f>IFERROR(INDEX(Materias!$C$3:$C$18,MATCH($A131,Materias!$B$3:$B$18,0)),"")</f>
      </c>
      <c r="C131" s="24"/>
      <c r="D131" s="24"/>
      <c r="E131" s="27"/>
      <c r="F131" s="24"/>
      <c r="G131" s="27">
        <f>IFERROR(INDEX(Criterios!$H$3:$H$302,MATCH($F131,Criterios!$C$3:$C$302,0)),"")</f>
      </c>
      <c r="H131" s="24"/>
      <c r="I131" s="27">
        <f>IFERROR(INDEX(Criterios!$H$3:$H$302,MATCH($H131,Criterios!$C$3:$C$302,0)),"")</f>
      </c>
      <c r="J131" s="24"/>
      <c r="K131" s="27"/>
      <c r="L131" s="24"/>
      <c r="M131" s="24"/>
      <c r="N131" s="24"/>
      <c r="O131" s="24"/>
      <c r="P131" s="24"/>
      <c r="Q131" s="73"/>
      <c r="R131" s="24"/>
      <c r="S131" s="24"/>
    </row>
    <row r="132" spans="1:19" x14ac:dyDescent="0.25">
      <c r="A132" s="24"/>
      <c r="B132" s="24">
        <f>IFERROR(INDEX(Materias!$C$3:$C$18,MATCH($A132,Materias!$B$3:$B$18,0)),"")</f>
      </c>
      <c r="C132" s="24"/>
      <c r="D132" s="24"/>
      <c r="E132" s="27"/>
      <c r="F132" s="24"/>
      <c r="G132" s="27">
        <f>IFERROR(INDEX(Criterios!$H$3:$H$302,MATCH($F132,Criterios!$C$3:$C$302,0)),"")</f>
      </c>
      <c r="H132" s="24"/>
      <c r="I132" s="27">
        <f>IFERROR(INDEX(Criterios!$H$3:$H$302,MATCH($H132,Criterios!$C$3:$C$302,0)),"")</f>
      </c>
      <c r="J132" s="24"/>
      <c r="K132" s="27"/>
      <c r="L132" s="24"/>
      <c r="M132" s="24"/>
      <c r="N132" s="24"/>
      <c r="O132" s="24"/>
      <c r="P132" s="24"/>
      <c r="Q132" s="73"/>
      <c r="R132" s="24"/>
      <c r="S132" s="24"/>
    </row>
    <row r="133" spans="1:19" x14ac:dyDescent="0.25">
      <c r="A133" s="24"/>
      <c r="B133" s="24">
        <f>IFERROR(INDEX(Materias!$C$3:$C$18,MATCH($A133,Materias!$B$3:$B$18,0)),"")</f>
      </c>
      <c r="C133" s="24"/>
      <c r="D133" s="24"/>
      <c r="E133" s="27"/>
      <c r="F133" s="24"/>
      <c r="G133" s="27">
        <f>IFERROR(INDEX(Criterios!$H$3:$H$302,MATCH($F133,Criterios!$C$3:$C$302,0)),"")</f>
      </c>
      <c r="H133" s="24"/>
      <c r="I133" s="27">
        <f>IFERROR(INDEX(Criterios!$H$3:$H$302,MATCH($H133,Criterios!$C$3:$C$302,0)),"")</f>
      </c>
      <c r="J133" s="24"/>
      <c r="K133" s="27"/>
      <c r="L133" s="24"/>
      <c r="M133" s="24"/>
      <c r="N133" s="24"/>
      <c r="O133" s="24"/>
      <c r="P133" s="24"/>
      <c r="Q133" s="73"/>
      <c r="R133" s="24"/>
      <c r="S133" s="24"/>
    </row>
    <row r="134" spans="1:19" x14ac:dyDescent="0.25">
      <c r="A134" s="24"/>
      <c r="B134" s="24">
        <f>IFERROR(INDEX(Materias!$C$3:$C$18,MATCH($A134,Materias!$B$3:$B$18,0)),"")</f>
      </c>
      <c r="C134" s="24"/>
      <c r="D134" s="24"/>
      <c r="E134" s="27"/>
      <c r="F134" s="24"/>
      <c r="G134" s="27">
        <f>IFERROR(INDEX(Criterios!$H$3:$H$302,MATCH($F134,Criterios!$C$3:$C$302,0)),"")</f>
      </c>
      <c r="H134" s="24"/>
      <c r="I134" s="27">
        <f>IFERROR(INDEX(Criterios!$H$3:$H$302,MATCH($H134,Criterios!$C$3:$C$302,0)),"")</f>
      </c>
      <c r="J134" s="24"/>
      <c r="K134" s="27"/>
      <c r="L134" s="24"/>
      <c r="M134" s="24"/>
      <c r="N134" s="24"/>
      <c r="O134" s="24"/>
      <c r="P134" s="24"/>
      <c r="Q134" s="73"/>
      <c r="R134" s="24"/>
      <c r="S134" s="24"/>
    </row>
    <row r="135" spans="1:19" x14ac:dyDescent="0.25">
      <c r="A135" s="24"/>
      <c r="B135" s="24">
        <f>IFERROR(INDEX(Materias!$C$3:$C$18,MATCH($A135,Materias!$B$3:$B$18,0)),"")</f>
      </c>
      <c r="C135" s="24"/>
      <c r="D135" s="24"/>
      <c r="E135" s="27"/>
      <c r="F135" s="24"/>
      <c r="G135" s="27">
        <f>IFERROR(INDEX(Criterios!$H$3:$H$302,MATCH($F135,Criterios!$C$3:$C$302,0)),"")</f>
      </c>
      <c r="H135" s="24"/>
      <c r="I135" s="27">
        <f>IFERROR(INDEX(Criterios!$H$3:$H$302,MATCH($H135,Criterios!$C$3:$C$302,0)),"")</f>
      </c>
      <c r="J135" s="24"/>
      <c r="K135" s="27"/>
      <c r="L135" s="24"/>
      <c r="M135" s="24"/>
      <c r="N135" s="24"/>
      <c r="O135" s="24"/>
      <c r="P135" s="24"/>
      <c r="Q135" s="73"/>
      <c r="R135" s="24"/>
      <c r="S135" s="24"/>
    </row>
    <row r="136" spans="1:19" x14ac:dyDescent="0.25">
      <c r="A136" s="24"/>
      <c r="B136" s="24">
        <f>IFERROR(INDEX(Materias!$C$3:$C$18,MATCH($A136,Materias!$B$3:$B$18,0)),"")</f>
      </c>
      <c r="C136" s="24"/>
      <c r="D136" s="24"/>
      <c r="E136" s="27"/>
      <c r="F136" s="24"/>
      <c r="G136" s="27">
        <f>IFERROR(INDEX(Criterios!$H$3:$H$302,MATCH($F136,Criterios!$C$3:$C$302,0)),"")</f>
      </c>
      <c r="H136" s="24"/>
      <c r="I136" s="27">
        <f>IFERROR(INDEX(Criterios!$H$3:$H$302,MATCH($H136,Criterios!$C$3:$C$302,0)),"")</f>
      </c>
      <c r="J136" s="24"/>
      <c r="K136" s="27"/>
      <c r="L136" s="24"/>
      <c r="M136" s="24"/>
      <c r="N136" s="24"/>
      <c r="O136" s="24"/>
      <c r="P136" s="24"/>
      <c r="Q136" s="73"/>
      <c r="R136" s="24"/>
      <c r="S136" s="24"/>
    </row>
    <row r="137" spans="1:19" x14ac:dyDescent="0.25">
      <c r="A137" s="24"/>
      <c r="B137" s="24">
        <f>IFERROR(INDEX(Materias!$C$3:$C$18,MATCH($A137,Materias!$B$3:$B$18,0)),"")</f>
      </c>
      <c r="C137" s="24"/>
      <c r="D137" s="24"/>
      <c r="E137" s="27"/>
      <c r="F137" s="24"/>
      <c r="G137" s="27">
        <f>IFERROR(INDEX(Criterios!$H$3:$H$302,MATCH($F137,Criterios!$C$3:$C$302,0)),"")</f>
      </c>
      <c r="H137" s="24"/>
      <c r="I137" s="27">
        <f>IFERROR(INDEX(Criterios!$H$3:$H$302,MATCH($H137,Criterios!$C$3:$C$302,0)),"")</f>
      </c>
      <c r="J137" s="24"/>
      <c r="K137" s="27"/>
      <c r="L137" s="24"/>
      <c r="M137" s="24"/>
      <c r="N137" s="24"/>
      <c r="O137" s="24"/>
      <c r="P137" s="24"/>
      <c r="Q137" s="73"/>
      <c r="R137" s="24"/>
      <c r="S137" s="24"/>
    </row>
    <row r="138" spans="1:19" x14ac:dyDescent="0.25">
      <c r="A138" s="24"/>
      <c r="B138" s="24">
        <f>IFERROR(INDEX(Materias!$C$3:$C$18,MATCH($A138,Materias!$B$3:$B$18,0)),"")</f>
      </c>
      <c r="C138" s="24"/>
      <c r="D138" s="24"/>
      <c r="E138" s="27"/>
      <c r="F138" s="24"/>
      <c r="G138" s="27">
        <f>IFERROR(INDEX(Criterios!$H$3:$H$302,MATCH($F138,Criterios!$C$3:$C$302,0)),"")</f>
      </c>
      <c r="H138" s="24"/>
      <c r="I138" s="27">
        <f>IFERROR(INDEX(Criterios!$H$3:$H$302,MATCH($H138,Criterios!$C$3:$C$302,0)),"")</f>
      </c>
      <c r="J138" s="24"/>
      <c r="K138" s="27"/>
      <c r="L138" s="24"/>
      <c r="M138" s="24"/>
      <c r="N138" s="24"/>
      <c r="O138" s="24"/>
      <c r="P138" s="24"/>
      <c r="Q138" s="73"/>
      <c r="R138" s="24"/>
      <c r="S138" s="24"/>
    </row>
    <row r="139" spans="1:19" x14ac:dyDescent="0.25">
      <c r="A139" s="24"/>
      <c r="B139" s="24">
        <f>IFERROR(INDEX(Materias!$C$3:$C$18,MATCH($A139,Materias!$B$3:$B$18,0)),"")</f>
      </c>
      <c r="C139" s="24"/>
      <c r="D139" s="24"/>
      <c r="E139" s="27"/>
      <c r="F139" s="24"/>
      <c r="G139" s="27">
        <f>IFERROR(INDEX(Criterios!$H$3:$H$302,MATCH($F139,Criterios!$C$3:$C$302,0)),"")</f>
      </c>
      <c r="H139" s="24"/>
      <c r="I139" s="27">
        <f>IFERROR(INDEX(Criterios!$H$3:$H$302,MATCH($H139,Criterios!$C$3:$C$302,0)),"")</f>
      </c>
      <c r="J139" s="24"/>
      <c r="K139" s="27"/>
      <c r="L139" s="24"/>
      <c r="M139" s="24"/>
      <c r="N139" s="24"/>
      <c r="O139" s="24"/>
      <c r="P139" s="24"/>
      <c r="Q139" s="73"/>
      <c r="R139" s="24"/>
      <c r="S139" s="24"/>
    </row>
    <row r="140" spans="1:19" x14ac:dyDescent="0.25">
      <c r="A140" s="24"/>
      <c r="B140" s="24">
        <f>IFERROR(INDEX(Materias!$C$3:$C$18,MATCH($A140,Materias!$B$3:$B$18,0)),"")</f>
      </c>
      <c r="C140" s="24"/>
      <c r="D140" s="24"/>
      <c r="E140" s="27"/>
      <c r="F140" s="24"/>
      <c r="G140" s="27">
        <f>IFERROR(INDEX(Criterios!$H$3:$H$302,MATCH($F140,Criterios!$C$3:$C$302,0)),"")</f>
      </c>
      <c r="H140" s="24"/>
      <c r="I140" s="27">
        <f>IFERROR(INDEX(Criterios!$H$3:$H$302,MATCH($H140,Criterios!$C$3:$C$302,0)),"")</f>
      </c>
      <c r="J140" s="24"/>
      <c r="K140" s="27"/>
      <c r="L140" s="24"/>
      <c r="M140" s="24"/>
      <c r="N140" s="24"/>
      <c r="O140" s="24"/>
      <c r="P140" s="24"/>
      <c r="Q140" s="73"/>
      <c r="R140" s="24"/>
      <c r="S140" s="24"/>
    </row>
    <row r="141" spans="1:19" x14ac:dyDescent="0.25">
      <c r="A141" s="24"/>
      <c r="B141" s="24">
        <f>IFERROR(INDEX(Materias!$C$3:$C$18,MATCH($A141,Materias!$B$3:$B$18,0)),"")</f>
      </c>
      <c r="C141" s="24"/>
      <c r="D141" s="24"/>
      <c r="E141" s="27"/>
      <c r="F141" s="24"/>
      <c r="G141" s="27">
        <f>IFERROR(INDEX(Criterios!$H$3:$H$302,MATCH($F141,Criterios!$C$3:$C$302,0)),"")</f>
      </c>
      <c r="H141" s="24"/>
      <c r="I141" s="27">
        <f>IFERROR(INDEX(Criterios!$H$3:$H$302,MATCH($H141,Criterios!$C$3:$C$302,0)),"")</f>
      </c>
      <c r="J141" s="24"/>
      <c r="K141" s="27"/>
      <c r="L141" s="24"/>
      <c r="M141" s="24"/>
      <c r="N141" s="24"/>
      <c r="O141" s="24"/>
      <c r="P141" s="24"/>
      <c r="Q141" s="73"/>
      <c r="R141" s="24"/>
      <c r="S141" s="24"/>
    </row>
    <row r="142" spans="1:19" x14ac:dyDescent="0.25">
      <c r="A142" s="24"/>
      <c r="B142" s="24">
        <f>IFERROR(INDEX(Materias!$C$3:$C$18,MATCH($A142,Materias!$B$3:$B$18,0)),"")</f>
      </c>
      <c r="C142" s="24"/>
      <c r="D142" s="24"/>
      <c r="E142" s="27"/>
      <c r="F142" s="24"/>
      <c r="G142" s="27">
        <f>IFERROR(INDEX(Criterios!$H$3:$H$302,MATCH($F142,Criterios!$C$3:$C$302,0)),"")</f>
      </c>
      <c r="H142" s="24"/>
      <c r="I142" s="27">
        <f>IFERROR(INDEX(Criterios!$H$3:$H$302,MATCH($H142,Criterios!$C$3:$C$302,0)),"")</f>
      </c>
      <c r="J142" s="24"/>
      <c r="K142" s="27"/>
      <c r="L142" s="24"/>
      <c r="M142" s="24"/>
      <c r="N142" s="24"/>
      <c r="O142" s="24"/>
      <c r="P142" s="24"/>
      <c r="Q142" s="73"/>
      <c r="R142" s="24"/>
      <c r="S142" s="24"/>
    </row>
    <row r="143" spans="1:19" x14ac:dyDescent="0.25">
      <c r="A143" s="24"/>
      <c r="B143" s="24">
        <f>IFERROR(INDEX(Materias!$C$3:$C$18,MATCH($A143,Materias!$B$3:$B$18,0)),"")</f>
      </c>
      <c r="C143" s="24"/>
      <c r="D143" s="24"/>
      <c r="E143" s="27"/>
      <c r="F143" s="24"/>
      <c r="G143" s="27">
        <f>IFERROR(INDEX(Criterios!$H$3:$H$302,MATCH($F143,Criterios!$C$3:$C$302,0)),"")</f>
      </c>
      <c r="H143" s="24"/>
      <c r="I143" s="27">
        <f>IFERROR(INDEX(Criterios!$H$3:$H$302,MATCH($H143,Criterios!$C$3:$C$302,0)),"")</f>
      </c>
      <c r="J143" s="24"/>
      <c r="K143" s="27"/>
      <c r="L143" s="24"/>
      <c r="M143" s="24"/>
      <c r="N143" s="24"/>
      <c r="O143" s="24"/>
      <c r="P143" s="24"/>
      <c r="Q143" s="73"/>
      <c r="R143" s="24"/>
      <c r="S143" s="24"/>
    </row>
    <row r="144" spans="1:19" x14ac:dyDescent="0.25">
      <c r="A144" s="24"/>
      <c r="B144" s="24">
        <f>IFERROR(INDEX(Materias!$C$3:$C$18,MATCH($A144,Materias!$B$3:$B$18,0)),"")</f>
      </c>
      <c r="C144" s="24"/>
      <c r="D144" s="24"/>
      <c r="E144" s="27"/>
      <c r="F144" s="24"/>
      <c r="G144" s="27">
        <f>IFERROR(INDEX(Criterios!$H$3:$H$302,MATCH($F144,Criterios!$C$3:$C$302,0)),"")</f>
      </c>
      <c r="H144" s="24"/>
      <c r="I144" s="27">
        <f>IFERROR(INDEX(Criterios!$H$3:$H$302,MATCH($H144,Criterios!$C$3:$C$302,0)),"")</f>
      </c>
      <c r="J144" s="24"/>
      <c r="K144" s="27"/>
      <c r="L144" s="24"/>
      <c r="M144" s="24"/>
      <c r="N144" s="24"/>
      <c r="O144" s="24"/>
      <c r="P144" s="24"/>
      <c r="Q144" s="73"/>
      <c r="R144" s="24"/>
      <c r="S144" s="24"/>
    </row>
    <row r="145" spans="1:19" x14ac:dyDescent="0.25">
      <c r="A145" s="24"/>
      <c r="B145" s="24">
        <f>IFERROR(INDEX(Materias!$C$3:$C$18,MATCH($A145,Materias!$B$3:$B$18,0)),"")</f>
      </c>
      <c r="C145" s="24"/>
      <c r="D145" s="24"/>
      <c r="E145" s="27"/>
      <c r="F145" s="24"/>
      <c r="G145" s="27">
        <f>IFERROR(INDEX(Criterios!$H$3:$H$302,MATCH($F145,Criterios!$C$3:$C$302,0)),"")</f>
      </c>
      <c r="H145" s="24"/>
      <c r="I145" s="27">
        <f>IFERROR(INDEX(Criterios!$H$3:$H$302,MATCH($H145,Criterios!$C$3:$C$302,0)),"")</f>
      </c>
      <c r="J145" s="24"/>
      <c r="K145" s="27"/>
      <c r="L145" s="24"/>
      <c r="M145" s="24"/>
      <c r="N145" s="24"/>
      <c r="O145" s="24"/>
      <c r="P145" s="24"/>
      <c r="Q145" s="73"/>
      <c r="R145" s="24"/>
      <c r="S145" s="24"/>
    </row>
    <row r="146" spans="1:19" x14ac:dyDescent="0.25">
      <c r="A146" s="24"/>
      <c r="B146" s="24">
        <f>IFERROR(INDEX(Materias!$C$3:$C$18,MATCH($A146,Materias!$B$3:$B$18,0)),"")</f>
      </c>
      <c r="C146" s="24"/>
      <c r="D146" s="24"/>
      <c r="E146" s="27"/>
      <c r="F146" s="24"/>
      <c r="G146" s="27">
        <f>IFERROR(INDEX(Criterios!$H$3:$H$302,MATCH($F146,Criterios!$C$3:$C$302,0)),"")</f>
      </c>
      <c r="H146" s="24"/>
      <c r="I146" s="27">
        <f>IFERROR(INDEX(Criterios!$H$3:$H$302,MATCH($H146,Criterios!$C$3:$C$302,0)),"")</f>
      </c>
      <c r="J146" s="24"/>
      <c r="K146" s="27"/>
      <c r="L146" s="24"/>
      <c r="M146" s="24"/>
      <c r="N146" s="24"/>
      <c r="O146" s="24"/>
      <c r="P146" s="24"/>
      <c r="Q146" s="73"/>
      <c r="R146" s="24"/>
      <c r="S146" s="24"/>
    </row>
    <row r="147" spans="1:19" x14ac:dyDescent="0.25">
      <c r="A147" s="24"/>
      <c r="B147" s="24">
        <f>IFERROR(INDEX(Materias!$C$3:$C$18,MATCH($A147,Materias!$B$3:$B$18,0)),"")</f>
      </c>
      <c r="C147" s="24"/>
      <c r="D147" s="24"/>
      <c r="E147" s="27"/>
      <c r="F147" s="24"/>
      <c r="G147" s="27">
        <f>IFERROR(INDEX(Criterios!$H$3:$H$302,MATCH($F147,Criterios!$C$3:$C$302,0)),"")</f>
      </c>
      <c r="H147" s="24"/>
      <c r="I147" s="27">
        <f>IFERROR(INDEX(Criterios!$H$3:$H$302,MATCH($H147,Criterios!$C$3:$C$302,0)),"")</f>
      </c>
      <c r="J147" s="24"/>
      <c r="K147" s="27"/>
      <c r="L147" s="24"/>
      <c r="M147" s="24"/>
      <c r="N147" s="24"/>
      <c r="O147" s="24"/>
      <c r="P147" s="24"/>
      <c r="Q147" s="73"/>
      <c r="R147" s="24"/>
      <c r="S147" s="24"/>
    </row>
    <row r="148" spans="1:19" x14ac:dyDescent="0.25">
      <c r="A148" s="24"/>
      <c r="B148" s="24">
        <f>IFERROR(INDEX(Materias!$C$3:$C$18,MATCH($A148,Materias!$B$3:$B$18,0)),"")</f>
      </c>
      <c r="C148" s="24"/>
      <c r="D148" s="24"/>
      <c r="E148" s="27"/>
      <c r="F148" s="24"/>
      <c r="G148" s="27">
        <f>IFERROR(INDEX(Criterios!$H$3:$H$302,MATCH($F148,Criterios!$C$3:$C$302,0)),"")</f>
      </c>
      <c r="H148" s="24"/>
      <c r="I148" s="27">
        <f>IFERROR(INDEX(Criterios!$H$3:$H$302,MATCH($H148,Criterios!$C$3:$C$302,0)),"")</f>
      </c>
      <c r="J148" s="24"/>
      <c r="K148" s="27"/>
      <c r="L148" s="24"/>
      <c r="M148" s="24"/>
      <c r="N148" s="24"/>
      <c r="O148" s="24"/>
      <c r="P148" s="24"/>
      <c r="Q148" s="73"/>
      <c r="R148" s="24"/>
      <c r="S148" s="24"/>
    </row>
    <row r="149" spans="1:19" x14ac:dyDescent="0.25">
      <c r="A149" s="24"/>
      <c r="B149" s="24">
        <f>IFERROR(INDEX(Materias!$C$3:$C$18,MATCH($A149,Materias!$B$3:$B$18,0)),"")</f>
      </c>
      <c r="C149" s="24"/>
      <c r="D149" s="24"/>
      <c r="E149" s="27"/>
      <c r="F149" s="24"/>
      <c r="G149" s="27">
        <f>IFERROR(INDEX(Criterios!$H$3:$H$302,MATCH($F149,Criterios!$C$3:$C$302,0)),"")</f>
      </c>
      <c r="H149" s="24"/>
      <c r="I149" s="27">
        <f>IFERROR(INDEX(Criterios!$H$3:$H$302,MATCH($H149,Criterios!$C$3:$C$302,0)),"")</f>
      </c>
      <c r="J149" s="24"/>
      <c r="K149" s="27"/>
      <c r="L149" s="24"/>
      <c r="M149" s="24"/>
      <c r="N149" s="24"/>
      <c r="O149" s="24"/>
      <c r="P149" s="24"/>
      <c r="Q149" s="73"/>
      <c r="R149" s="24"/>
      <c r="S149" s="24"/>
    </row>
    <row r="150" spans="1:19" x14ac:dyDescent="0.25">
      <c r="A150" s="24"/>
      <c r="B150" s="24">
        <f>IFERROR(INDEX(Materias!$C$3:$C$18,MATCH($A150,Materias!$B$3:$B$18,0)),"")</f>
      </c>
      <c r="C150" s="24"/>
      <c r="D150" s="24"/>
      <c r="E150" s="27"/>
      <c r="F150" s="24"/>
      <c r="G150" s="27">
        <f>IFERROR(INDEX(Criterios!$H$3:$H$302,MATCH($F150,Criterios!$C$3:$C$302,0)),"")</f>
      </c>
      <c r="H150" s="24"/>
      <c r="I150" s="27">
        <f>IFERROR(INDEX(Criterios!$H$3:$H$302,MATCH($H150,Criterios!$C$3:$C$302,0)),"")</f>
      </c>
      <c r="J150" s="24"/>
      <c r="K150" s="27"/>
      <c r="L150" s="24"/>
      <c r="M150" s="24"/>
      <c r="N150" s="24"/>
      <c r="O150" s="24"/>
      <c r="P150" s="24"/>
      <c r="Q150" s="73"/>
      <c r="R150" s="24"/>
      <c r="S150" s="24"/>
    </row>
    <row r="151" spans="1:19" x14ac:dyDescent="0.25">
      <c r="A151" s="24"/>
      <c r="B151" s="24">
        <f>IFERROR(INDEX(Materias!$C$3:$C$18,MATCH($A151,Materias!$B$3:$B$18,0)),"")</f>
      </c>
      <c r="C151" s="24"/>
      <c r="D151" s="24"/>
      <c r="E151" s="27"/>
      <c r="F151" s="24"/>
      <c r="G151" s="27">
        <f>IFERROR(INDEX(Criterios!$H$3:$H$302,MATCH($F151,Criterios!$C$3:$C$302,0)),"")</f>
      </c>
      <c r="H151" s="24"/>
      <c r="I151" s="27">
        <f>IFERROR(INDEX(Criterios!$H$3:$H$302,MATCH($H151,Criterios!$C$3:$C$302,0)),"")</f>
      </c>
      <c r="J151" s="24"/>
      <c r="K151" s="27"/>
      <c r="L151" s="24"/>
      <c r="M151" s="24"/>
      <c r="N151" s="24"/>
      <c r="O151" s="24"/>
      <c r="P151" s="24"/>
      <c r="Q151" s="73"/>
      <c r="R151" s="24"/>
      <c r="S151" s="24"/>
    </row>
    <row r="152" spans="1:19" x14ac:dyDescent="0.25">
      <c r="A152" s="24"/>
      <c r="B152" s="24">
        <f>IFERROR(INDEX(Materias!$C$3:$C$18,MATCH($A152,Materias!$B$3:$B$18,0)),"")</f>
      </c>
      <c r="C152" s="24"/>
      <c r="D152" s="24"/>
      <c r="E152" s="27"/>
      <c r="F152" s="24"/>
      <c r="G152" s="27">
        <f>IFERROR(INDEX(Criterios!$H$3:$H$302,MATCH($F152,Criterios!$C$3:$C$302,0)),"")</f>
      </c>
      <c r="H152" s="24"/>
      <c r="I152" s="27">
        <f>IFERROR(INDEX(Criterios!$H$3:$H$302,MATCH($H152,Criterios!$C$3:$C$302,0)),"")</f>
      </c>
      <c r="J152" s="24"/>
      <c r="K152" s="27"/>
      <c r="L152" s="24"/>
      <c r="M152" s="24"/>
      <c r="N152" s="24"/>
      <c r="O152" s="24"/>
      <c r="P152" s="24"/>
      <c r="Q152" s="73"/>
      <c r="R152" s="24"/>
      <c r="S152" s="24"/>
    </row>
    <row r="153" spans="1:19" x14ac:dyDescent="0.25">
      <c r="A153" s="24"/>
      <c r="B153" s="24">
        <f>IFERROR(INDEX(Materias!$C$3:$C$18,MATCH($A153,Materias!$B$3:$B$18,0)),"")</f>
      </c>
      <c r="C153" s="24"/>
      <c r="D153" s="24"/>
      <c r="E153" s="27"/>
      <c r="F153" s="24"/>
      <c r="G153" s="27">
        <f>IFERROR(INDEX(Criterios!$H$3:$H$302,MATCH($F153,Criterios!$C$3:$C$302,0)),"")</f>
      </c>
      <c r="H153" s="24"/>
      <c r="I153" s="27">
        <f>IFERROR(INDEX(Criterios!$H$3:$H$302,MATCH($H153,Criterios!$C$3:$C$302,0)),"")</f>
      </c>
      <c r="J153" s="24"/>
      <c r="K153" s="27"/>
      <c r="L153" s="24"/>
      <c r="M153" s="24"/>
      <c r="N153" s="24"/>
      <c r="O153" s="24"/>
      <c r="P153" s="24"/>
      <c r="Q153" s="73"/>
      <c r="R153" s="24"/>
      <c r="S153" s="24"/>
    </row>
    <row r="154" spans="1:19" x14ac:dyDescent="0.25">
      <c r="A154" s="24"/>
      <c r="B154" s="24">
        <f>IFERROR(INDEX(Materias!$C$3:$C$18,MATCH($A154,Materias!$B$3:$B$18,0)),"")</f>
      </c>
      <c r="C154" s="24"/>
      <c r="D154" s="24"/>
      <c r="E154" s="27"/>
      <c r="F154" s="24"/>
      <c r="G154" s="27">
        <f>IFERROR(INDEX(Criterios!$H$3:$H$302,MATCH($F154,Criterios!$C$3:$C$302,0)),"")</f>
      </c>
      <c r="H154" s="24"/>
      <c r="I154" s="27">
        <f>IFERROR(INDEX(Criterios!$H$3:$H$302,MATCH($H154,Criterios!$C$3:$C$302,0)),"")</f>
      </c>
      <c r="J154" s="24"/>
      <c r="K154" s="27"/>
      <c r="L154" s="24"/>
      <c r="M154" s="24"/>
      <c r="N154" s="24"/>
      <c r="O154" s="24"/>
      <c r="P154" s="24"/>
      <c r="Q154" s="73"/>
      <c r="R154" s="24"/>
      <c r="S154" s="24"/>
    </row>
    <row r="155" spans="1:19" x14ac:dyDescent="0.25">
      <c r="A155" s="24"/>
      <c r="B155" s="24">
        <f>IFERROR(INDEX(Materias!$C$3:$C$18,MATCH($A155,Materias!$B$3:$B$18,0)),"")</f>
      </c>
      <c r="C155" s="24"/>
      <c r="D155" s="24"/>
      <c r="E155" s="27"/>
      <c r="F155" s="24"/>
      <c r="G155" s="27">
        <f>IFERROR(INDEX(Criterios!$H$3:$H$302,MATCH($F155,Criterios!$C$3:$C$302,0)),"")</f>
      </c>
      <c r="H155" s="24"/>
      <c r="I155" s="27">
        <f>IFERROR(INDEX(Criterios!$H$3:$H$302,MATCH($H155,Criterios!$C$3:$C$302,0)),"")</f>
      </c>
      <c r="J155" s="24"/>
      <c r="K155" s="27"/>
      <c r="L155" s="24"/>
      <c r="M155" s="24"/>
      <c r="N155" s="24"/>
      <c r="O155" s="24"/>
      <c r="P155" s="24"/>
      <c r="Q155" s="73"/>
      <c r="R155" s="24"/>
      <c r="S155" s="24"/>
    </row>
    <row r="156" spans="1:19" x14ac:dyDescent="0.25">
      <c r="A156" s="24"/>
      <c r="B156" s="24">
        <f>IFERROR(INDEX(Materias!$C$3:$C$18,MATCH($A156,Materias!$B$3:$B$18,0)),"")</f>
      </c>
      <c r="C156" s="24"/>
      <c r="D156" s="24"/>
      <c r="E156" s="27"/>
      <c r="F156" s="24"/>
      <c r="G156" s="27">
        <f>IFERROR(INDEX(Criterios!$H$3:$H$302,MATCH($F156,Criterios!$C$3:$C$302,0)),"")</f>
      </c>
      <c r="H156" s="24"/>
      <c r="I156" s="27">
        <f>IFERROR(INDEX(Criterios!$H$3:$H$302,MATCH($H156,Criterios!$C$3:$C$302,0)),"")</f>
      </c>
      <c r="J156" s="24"/>
      <c r="K156" s="27"/>
      <c r="L156" s="24"/>
      <c r="M156" s="24"/>
      <c r="N156" s="24"/>
      <c r="O156" s="24"/>
      <c r="P156" s="24"/>
      <c r="Q156" s="73"/>
      <c r="R156" s="24"/>
      <c r="S156" s="24"/>
    </row>
    <row r="157" spans="1:19" x14ac:dyDescent="0.25">
      <c r="A157" s="24"/>
      <c r="B157" s="24">
        <f>IFERROR(INDEX(Materias!$C$3:$C$18,MATCH($A157,Materias!$B$3:$B$18,0)),"")</f>
      </c>
      <c r="C157" s="24"/>
      <c r="D157" s="24"/>
      <c r="E157" s="27"/>
      <c r="F157" s="24"/>
      <c r="G157" s="27">
        <f>IFERROR(INDEX(Criterios!$H$3:$H$302,MATCH($F157,Criterios!$C$3:$C$302,0)),"")</f>
      </c>
      <c r="H157" s="24"/>
      <c r="I157" s="27">
        <f>IFERROR(INDEX(Criterios!$H$3:$H$302,MATCH($H157,Criterios!$C$3:$C$302,0)),"")</f>
      </c>
      <c r="J157" s="24"/>
      <c r="K157" s="27"/>
      <c r="L157" s="24"/>
      <c r="M157" s="24"/>
      <c r="N157" s="24"/>
      <c r="O157" s="24"/>
      <c r="P157" s="24"/>
      <c r="Q157" s="73"/>
      <c r="R157" s="24"/>
      <c r="S157" s="24"/>
    </row>
    <row r="158" spans="1:19" x14ac:dyDescent="0.25">
      <c r="A158" s="24"/>
      <c r="B158" s="24">
        <f>IFERROR(INDEX(Materias!$C$3:$C$18,MATCH($A158,Materias!$B$3:$B$18,0)),"")</f>
      </c>
      <c r="C158" s="24"/>
      <c r="D158" s="24"/>
      <c r="E158" s="27"/>
      <c r="F158" s="24"/>
      <c r="G158" s="27">
        <f>IFERROR(INDEX(Criterios!$H$3:$H$302,MATCH($F158,Criterios!$C$3:$C$302,0)),"")</f>
      </c>
      <c r="H158" s="24"/>
      <c r="I158" s="27">
        <f>IFERROR(INDEX(Criterios!$H$3:$H$302,MATCH($H158,Criterios!$C$3:$C$302,0)),"")</f>
      </c>
      <c r="J158" s="24"/>
      <c r="K158" s="27"/>
      <c r="L158" s="24"/>
      <c r="M158" s="24"/>
      <c r="N158" s="24"/>
      <c r="O158" s="24"/>
      <c r="P158" s="24"/>
      <c r="Q158" s="73"/>
      <c r="R158" s="24"/>
      <c r="S158" s="24"/>
    </row>
    <row r="159" spans="1:19" x14ac:dyDescent="0.25">
      <c r="A159" s="24"/>
      <c r="B159" s="24">
        <f>IFERROR(INDEX(Materias!$C$3:$C$18,MATCH($A159,Materias!$B$3:$B$18,0)),"")</f>
      </c>
      <c r="C159" s="24"/>
      <c r="D159" s="24"/>
      <c r="E159" s="27"/>
      <c r="F159" s="24"/>
      <c r="G159" s="27">
        <f>IFERROR(INDEX(Criterios!$H$3:$H$302,MATCH($F159,Criterios!$C$3:$C$302,0)),"")</f>
      </c>
      <c r="H159" s="24"/>
      <c r="I159" s="27">
        <f>IFERROR(INDEX(Criterios!$H$3:$H$302,MATCH($H159,Criterios!$C$3:$C$302,0)),"")</f>
      </c>
      <c r="J159" s="24"/>
      <c r="K159" s="27"/>
      <c r="L159" s="24"/>
      <c r="M159" s="24"/>
      <c r="N159" s="24"/>
      <c r="O159" s="24"/>
      <c r="P159" s="24"/>
      <c r="Q159" s="73"/>
      <c r="R159" s="24"/>
      <c r="S159" s="24"/>
    </row>
    <row r="160" spans="1:19" x14ac:dyDescent="0.25">
      <c r="A160" s="24"/>
      <c r="B160" s="24">
        <f>IFERROR(INDEX(Materias!$C$3:$C$18,MATCH($A160,Materias!$B$3:$B$18,0)),"")</f>
      </c>
      <c r="C160" s="24"/>
      <c r="D160" s="24"/>
      <c r="E160" s="27"/>
      <c r="F160" s="24"/>
      <c r="G160" s="27">
        <f>IFERROR(INDEX(Criterios!$H$3:$H$302,MATCH($F160,Criterios!$C$3:$C$302,0)),"")</f>
      </c>
      <c r="H160" s="24"/>
      <c r="I160" s="27">
        <f>IFERROR(INDEX(Criterios!$H$3:$H$302,MATCH($H160,Criterios!$C$3:$C$302,0)),"")</f>
      </c>
      <c r="J160" s="24"/>
      <c r="K160" s="27"/>
      <c r="L160" s="24"/>
      <c r="M160" s="24"/>
      <c r="N160" s="24"/>
      <c r="O160" s="24"/>
      <c r="P160" s="24"/>
      <c r="Q160" s="73"/>
      <c r="R160" s="24"/>
      <c r="S160" s="24"/>
    </row>
  </sheetData>
  <autoFilter ref="A2:S2"/>
  <mergeCells count="1">
    <mergeCell ref="A1:S1"/>
  </mergeCells>
  <dataValidations count="16">
    <dataValidation type="list" allowBlank="1" sqref="A10:A160">
      <formula1>Materias!$B$3:$B$18</formula1>
    </dataValidation>
    <dataValidation type="list" allowBlank="1" sqref="A3:A160">
      <formula1>Materias!$B$3:$B$18</formula1>
    </dataValidation>
    <dataValidation type="list" allowBlank="1" sqref="C10:C160">
      <formula1>"T1,T2,T3,T4"</formula1>
    </dataValidation>
    <dataValidation type="list" allowBlank="1" sqref="C3:C160">
      <formula1>"T1,T2,T3,T4"</formula1>
    </dataValidation>
    <dataValidation type="list" allowBlank="1" sqref="D10:D160">
      <formula1>"1 · Nuestra tienda,2 · Pedidos y cambio,3 · Ofertas con sentido,4 · Primer mercado,5 · Los datos nos ayudan,6 · Mejoramos y contamos,Otro reto"</formula1>
    </dataValidation>
    <dataValidation type="list" allowBlank="1" sqref="D3:D160">
      <formula1>"1 · Nuestra tienda,2 · Pedidos y cambio,3 · Ofertas con sentido,4 · Primer mercado,5 · Los datos nos ayudan,6 · Mejoramos y contamos,Otro reto"</formula1>
    </dataValidation>
    <dataValidation type="list" allowBlank="1" sqref="F10:F160">
      <formula1>Criterios!$C$3:$C$302</formula1>
    </dataValidation>
    <dataValidation type="list" allowBlank="1" sqref="F3:F160">
      <formula1>Criterios!$C$3:$C$302</formula1>
    </dataValidation>
    <dataValidation type="list" allowBlank="1" sqref="H10:H160">
      <formula1>Criterios!$C$3:$C$302</formula1>
    </dataValidation>
    <dataValidation type="list" allowBlank="1" sqref="H3:H160">
      <formula1>Criterios!$C$3:$C$302</formula1>
    </dataValidation>
    <dataValidation type="list" allowBlank="1" sqref="L10:L160">
      <formula1>"Rúbrica,Lista de cotejo,Escala de observación,Registro anecdótico,Portfolio,Prueba o tarea"</formula1>
    </dataValidation>
    <dataValidation type="list" allowBlank="1" sqref="L3:L160">
      <formula1>"Rúbrica,Lista de cotejo,Escala de observación,Registro anecdótico,Portfolio,Prueba o tarea"</formula1>
    </dataValidation>
    <dataValidation type="list" allowBlank="1" sqref="O10:P160">
      <formula1>Materias!$B$3:$B$18</formula1>
    </dataValidation>
    <dataValidation type="list" allowBlank="1" sqref="O3:P160">
      <formula1>Materias!$B$3:$B$18</formula1>
    </dataValidation>
    <dataValidation type="list" allowBlank="1" sqref="R10:R160">
      <formula1>"Pendiente,Empezada,Enviada,Revisada,No participa"</formula1>
    </dataValidation>
    <dataValidation type="list" allowBlank="1" sqref="R3:R160">
      <formula1>"Pendiente,Empezada,Enviada,Revisada,No participa"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D7C0F"/>
  </sheetPr>
  <dimension ref="A1:I302"/>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5" customWidth="1"/>
    <col min="3" max="3" width="14" customWidth="1"/>
    <col min="4" max="4" width="7" customWidth="1"/>
    <col min="5" max="5" width="6" customWidth="1"/>
    <col min="6" max="6" width="30" customWidth="1"/>
    <col min="7" max="7" width="5" customWidth="1"/>
    <col min="8" max="8" width="96" customWidth="1"/>
    <col min="9" max="9" width="24" customWidth="1"/>
  </cols>
  <sheetData>
    <row r="1" spans="1:9" x14ac:dyDescent="0.25">
      <c r="A1" s="21" t="s">
        <v>208</v>
      </c>
      <c r="B1" s="21"/>
      <c r="C1" s="21"/>
      <c r="D1" s="21"/>
      <c r="E1" s="21"/>
      <c r="F1" s="21"/>
      <c r="G1" s="21"/>
      <c r="H1" s="21"/>
      <c r="I1" s="21"/>
    </row>
    <row r="2" ht="26" customHeight="1" spans="1:9" x14ac:dyDescent="0.25">
      <c r="A2" s="74" t="s">
        <v>106</v>
      </c>
      <c r="B2" s="74" t="s">
        <v>79</v>
      </c>
      <c r="C2" s="74" t="s">
        <v>209</v>
      </c>
      <c r="D2" s="74" t="s">
        <v>210</v>
      </c>
      <c r="E2" s="74" t="s">
        <v>211</v>
      </c>
      <c r="F2" s="74" t="s">
        <v>212</v>
      </c>
      <c r="G2" s="74" t="s">
        <v>79</v>
      </c>
      <c r="H2" s="74" t="s">
        <v>213</v>
      </c>
      <c r="I2" s="74" t="s">
        <v>214</v>
      </c>
    </row>
    <row r="3" ht="28" customHeight="1" spans="1:9" x14ac:dyDescent="0.25">
      <c r="A3" s="75" t="s">
        <v>114</v>
      </c>
      <c r="B3" s="31" t="s">
        <v>115</v>
      </c>
      <c r="C3" s="76" t="s">
        <v>215</v>
      </c>
      <c r="D3" s="24" t="s">
        <v>216</v>
      </c>
      <c r="E3" s="24">
        <v>1</v>
      </c>
      <c r="F3" s="24" t="s">
        <v>217</v>
      </c>
      <c r="G3" s="31" t="s">
        <v>218</v>
      </c>
      <c r="H3" s="27" t="s">
        <v>219</v>
      </c>
      <c r="I3" s="27" t="s">
        <v>220</v>
      </c>
    </row>
    <row r="4" ht="28" customHeight="1" spans="1:9" x14ac:dyDescent="0.25">
      <c r="A4" s="75" t="s">
        <v>114</v>
      </c>
      <c r="B4" s="31" t="s">
        <v>115</v>
      </c>
      <c r="C4" s="76" t="s">
        <v>221</v>
      </c>
      <c r="D4" s="24" t="s">
        <v>222</v>
      </c>
      <c r="E4" s="24">
        <v>1</v>
      </c>
      <c r="F4" s="24" t="s">
        <v>217</v>
      </c>
      <c r="G4" s="31" t="s">
        <v>218</v>
      </c>
      <c r="H4" s="27" t="s">
        <v>223</v>
      </c>
      <c r="I4" s="27" t="s">
        <v>224</v>
      </c>
    </row>
    <row r="5" ht="28" customHeight="1" spans="1:9" x14ac:dyDescent="0.25">
      <c r="A5" s="75" t="s">
        <v>114</v>
      </c>
      <c r="B5" s="31" t="s">
        <v>115</v>
      </c>
      <c r="C5" s="76" t="s">
        <v>202</v>
      </c>
      <c r="D5" s="24" t="s">
        <v>225</v>
      </c>
      <c r="E5" s="24">
        <v>1</v>
      </c>
      <c r="F5" s="24" t="s">
        <v>217</v>
      </c>
      <c r="G5" s="31" t="s">
        <v>218</v>
      </c>
      <c r="H5" s="27" t="s">
        <v>226</v>
      </c>
      <c r="I5" s="27" t="s">
        <v>227</v>
      </c>
    </row>
    <row r="6" ht="28" customHeight="1" spans="1:9" x14ac:dyDescent="0.25">
      <c r="A6" s="75" t="s">
        <v>114</v>
      </c>
      <c r="B6" s="31" t="s">
        <v>115</v>
      </c>
      <c r="C6" s="76" t="s">
        <v>228</v>
      </c>
      <c r="D6" s="24" t="s">
        <v>229</v>
      </c>
      <c r="E6" s="24">
        <v>2</v>
      </c>
      <c r="F6" s="24" t="s">
        <v>230</v>
      </c>
      <c r="G6" s="31" t="s">
        <v>231</v>
      </c>
      <c r="H6" s="27" t="s">
        <v>232</v>
      </c>
      <c r="I6" s="27" t="s">
        <v>233</v>
      </c>
    </row>
    <row r="7" ht="28" customHeight="1" spans="1:9" x14ac:dyDescent="0.25">
      <c r="A7" s="75" t="s">
        <v>114</v>
      </c>
      <c r="B7" s="31" t="s">
        <v>115</v>
      </c>
      <c r="C7" s="76" t="s">
        <v>203</v>
      </c>
      <c r="D7" s="24" t="s">
        <v>234</v>
      </c>
      <c r="E7" s="24">
        <v>2</v>
      </c>
      <c r="F7" s="24" t="s">
        <v>230</v>
      </c>
      <c r="G7" s="31" t="s">
        <v>231</v>
      </c>
      <c r="H7" s="27" t="s">
        <v>235</v>
      </c>
      <c r="I7" s="27" t="s">
        <v>236</v>
      </c>
    </row>
    <row r="8" ht="28" customHeight="1" spans="1:9" x14ac:dyDescent="0.25">
      <c r="A8" s="75" t="s">
        <v>114</v>
      </c>
      <c r="B8" s="31" t="s">
        <v>115</v>
      </c>
      <c r="C8" s="76" t="s">
        <v>237</v>
      </c>
      <c r="D8" s="24" t="s">
        <v>238</v>
      </c>
      <c r="E8" s="24">
        <v>3</v>
      </c>
      <c r="F8" s="24" t="s">
        <v>230</v>
      </c>
      <c r="G8" s="31" t="s">
        <v>231</v>
      </c>
      <c r="H8" s="27" t="s">
        <v>239</v>
      </c>
      <c r="I8" s="27" t="s">
        <v>240</v>
      </c>
    </row>
    <row r="9" ht="28" customHeight="1" spans="1:9" x14ac:dyDescent="0.25">
      <c r="A9" s="75" t="s">
        <v>114</v>
      </c>
      <c r="B9" s="31" t="s">
        <v>115</v>
      </c>
      <c r="C9" s="76" t="s">
        <v>241</v>
      </c>
      <c r="D9" s="24" t="s">
        <v>242</v>
      </c>
      <c r="E9" s="24">
        <v>3</v>
      </c>
      <c r="F9" s="24" t="s">
        <v>230</v>
      </c>
      <c r="G9" s="31" t="s">
        <v>231</v>
      </c>
      <c r="H9" s="27" t="s">
        <v>243</v>
      </c>
      <c r="I9" s="27" t="s">
        <v>244</v>
      </c>
    </row>
    <row r="10" ht="28" customHeight="1" spans="1:9" x14ac:dyDescent="0.25">
      <c r="A10" s="75" t="s">
        <v>114</v>
      </c>
      <c r="B10" s="31" t="s">
        <v>115</v>
      </c>
      <c r="C10" s="76" t="s">
        <v>245</v>
      </c>
      <c r="D10" s="24" t="s">
        <v>246</v>
      </c>
      <c r="E10" s="24">
        <v>3</v>
      </c>
      <c r="F10" s="24" t="s">
        <v>230</v>
      </c>
      <c r="G10" s="31" t="s">
        <v>231</v>
      </c>
      <c r="H10" s="27" t="s">
        <v>247</v>
      </c>
      <c r="I10" s="27" t="s">
        <v>248</v>
      </c>
    </row>
    <row r="11" ht="28" customHeight="1" spans="1:9" x14ac:dyDescent="0.25">
      <c r="A11" s="75" t="s">
        <v>114</v>
      </c>
      <c r="B11" s="31" t="s">
        <v>115</v>
      </c>
      <c r="C11" s="76" t="s">
        <v>249</v>
      </c>
      <c r="D11" s="24" t="s">
        <v>250</v>
      </c>
      <c r="E11" s="24">
        <v>4</v>
      </c>
      <c r="F11" s="24" t="s">
        <v>251</v>
      </c>
      <c r="G11" s="31" t="s">
        <v>252</v>
      </c>
      <c r="H11" s="27" t="s">
        <v>253</v>
      </c>
      <c r="I11" s="27" t="s">
        <v>254</v>
      </c>
    </row>
    <row r="12" ht="28" customHeight="1" spans="1:9" x14ac:dyDescent="0.25">
      <c r="A12" s="75" t="s">
        <v>114</v>
      </c>
      <c r="B12" s="31" t="s">
        <v>115</v>
      </c>
      <c r="C12" s="76" t="s">
        <v>255</v>
      </c>
      <c r="D12" s="24" t="s">
        <v>256</v>
      </c>
      <c r="E12" s="24">
        <v>4</v>
      </c>
      <c r="F12" s="24" t="s">
        <v>251</v>
      </c>
      <c r="G12" s="31" t="s">
        <v>252</v>
      </c>
      <c r="H12" s="27" t="s">
        <v>257</v>
      </c>
      <c r="I12" s="27" t="s">
        <v>258</v>
      </c>
    </row>
    <row r="13" ht="28" customHeight="1" spans="1:9" x14ac:dyDescent="0.25">
      <c r="A13" s="75" t="s">
        <v>114</v>
      </c>
      <c r="B13" s="31" t="s">
        <v>115</v>
      </c>
      <c r="C13" s="76" t="s">
        <v>259</v>
      </c>
      <c r="D13" s="24" t="s">
        <v>260</v>
      </c>
      <c r="E13" s="24">
        <v>5</v>
      </c>
      <c r="F13" s="24" t="s">
        <v>261</v>
      </c>
      <c r="G13" s="31" t="s">
        <v>262</v>
      </c>
      <c r="H13" s="27" t="s">
        <v>263</v>
      </c>
      <c r="I13" s="27" t="s">
        <v>264</v>
      </c>
    </row>
    <row r="14" ht="28" customHeight="1" spans="1:9" x14ac:dyDescent="0.25">
      <c r="A14" s="75" t="s">
        <v>114</v>
      </c>
      <c r="B14" s="31" t="s">
        <v>115</v>
      </c>
      <c r="C14" s="76" t="s">
        <v>265</v>
      </c>
      <c r="D14" s="24" t="s">
        <v>266</v>
      </c>
      <c r="E14" s="24">
        <v>5</v>
      </c>
      <c r="F14" s="24" t="s">
        <v>261</v>
      </c>
      <c r="G14" s="31" t="s">
        <v>262</v>
      </c>
      <c r="H14" s="27" t="s">
        <v>267</v>
      </c>
      <c r="I14" s="27" t="s">
        <v>268</v>
      </c>
    </row>
    <row r="15" ht="28" customHeight="1" spans="1:9" x14ac:dyDescent="0.25">
      <c r="A15" s="75" t="s">
        <v>114</v>
      </c>
      <c r="B15" s="31" t="s">
        <v>115</v>
      </c>
      <c r="C15" s="76" t="s">
        <v>269</v>
      </c>
      <c r="D15" s="24" t="s">
        <v>270</v>
      </c>
      <c r="E15" s="24">
        <v>6</v>
      </c>
      <c r="F15" s="24" t="s">
        <v>261</v>
      </c>
      <c r="G15" s="31" t="s">
        <v>262</v>
      </c>
      <c r="H15" s="27" t="s">
        <v>271</v>
      </c>
      <c r="I15" s="27" t="s">
        <v>272</v>
      </c>
    </row>
    <row r="16" ht="28" customHeight="1" spans="1:9" x14ac:dyDescent="0.25">
      <c r="A16" s="75" t="s">
        <v>114</v>
      </c>
      <c r="B16" s="31" t="s">
        <v>115</v>
      </c>
      <c r="C16" s="76" t="s">
        <v>273</v>
      </c>
      <c r="D16" s="24" t="s">
        <v>274</v>
      </c>
      <c r="E16" s="24">
        <v>6</v>
      </c>
      <c r="F16" s="24" t="s">
        <v>261</v>
      </c>
      <c r="G16" s="31" t="s">
        <v>262</v>
      </c>
      <c r="H16" s="27" t="s">
        <v>275</v>
      </c>
      <c r="I16" s="27" t="s">
        <v>276</v>
      </c>
    </row>
    <row r="17" ht="28" customHeight="1" spans="1:9" x14ac:dyDescent="0.25">
      <c r="A17" s="75" t="s">
        <v>114</v>
      </c>
      <c r="B17" s="31" t="s">
        <v>115</v>
      </c>
      <c r="C17" s="76" t="s">
        <v>277</v>
      </c>
      <c r="D17" s="24" t="s">
        <v>278</v>
      </c>
      <c r="E17" s="24">
        <v>6</v>
      </c>
      <c r="F17" s="24" t="s">
        <v>261</v>
      </c>
      <c r="G17" s="31" t="s">
        <v>262</v>
      </c>
      <c r="H17" s="27" t="s">
        <v>279</v>
      </c>
      <c r="I17" s="27" t="s">
        <v>280</v>
      </c>
    </row>
    <row r="18" ht="28" customHeight="1" spans="1:9" x14ac:dyDescent="0.25">
      <c r="A18" s="75" t="s">
        <v>114</v>
      </c>
      <c r="B18" s="31" t="s">
        <v>115</v>
      </c>
      <c r="C18" s="76" t="s">
        <v>281</v>
      </c>
      <c r="D18" s="24" t="s">
        <v>282</v>
      </c>
      <c r="E18" s="24">
        <v>7</v>
      </c>
      <c r="F18" s="24" t="s">
        <v>283</v>
      </c>
      <c r="G18" s="31" t="s">
        <v>284</v>
      </c>
      <c r="H18" s="27" t="s">
        <v>285</v>
      </c>
      <c r="I18" s="27" t="s">
        <v>286</v>
      </c>
    </row>
    <row r="19" ht="28" customHeight="1" spans="1:9" x14ac:dyDescent="0.25">
      <c r="A19" s="75" t="s">
        <v>114</v>
      </c>
      <c r="B19" s="31" t="s">
        <v>115</v>
      </c>
      <c r="C19" s="76" t="s">
        <v>287</v>
      </c>
      <c r="D19" s="24" t="s">
        <v>288</v>
      </c>
      <c r="E19" s="24">
        <v>7</v>
      </c>
      <c r="F19" s="24" t="s">
        <v>283</v>
      </c>
      <c r="G19" s="31" t="s">
        <v>284</v>
      </c>
      <c r="H19" s="27" t="s">
        <v>289</v>
      </c>
      <c r="I19" s="27" t="s">
        <v>290</v>
      </c>
    </row>
    <row r="20" ht="28" customHeight="1" spans="1:9" x14ac:dyDescent="0.25">
      <c r="A20" s="75" t="s">
        <v>114</v>
      </c>
      <c r="B20" s="31" t="s">
        <v>115</v>
      </c>
      <c r="C20" s="76" t="s">
        <v>291</v>
      </c>
      <c r="D20" s="24" t="s">
        <v>292</v>
      </c>
      <c r="E20" s="24">
        <v>8</v>
      </c>
      <c r="F20" s="24" t="s">
        <v>293</v>
      </c>
      <c r="G20" s="31" t="s">
        <v>294</v>
      </c>
      <c r="H20" s="27" t="s">
        <v>295</v>
      </c>
      <c r="I20" s="27" t="s">
        <v>296</v>
      </c>
    </row>
    <row r="21" ht="28" customHeight="1" spans="1:9" x14ac:dyDescent="0.25">
      <c r="A21" s="75" t="s">
        <v>114</v>
      </c>
      <c r="B21" s="31" t="s">
        <v>115</v>
      </c>
      <c r="C21" s="76" t="s">
        <v>297</v>
      </c>
      <c r="D21" s="24" t="s">
        <v>298</v>
      </c>
      <c r="E21" s="24">
        <v>8</v>
      </c>
      <c r="F21" s="24" t="s">
        <v>293</v>
      </c>
      <c r="G21" s="31" t="s">
        <v>294</v>
      </c>
      <c r="H21" s="27" t="s">
        <v>299</v>
      </c>
      <c r="I21" s="27" t="s">
        <v>300</v>
      </c>
    </row>
    <row r="22" ht="28" customHeight="1" spans="1:9" x14ac:dyDescent="0.25">
      <c r="A22" s="75" t="s">
        <v>114</v>
      </c>
      <c r="B22" s="31" t="s">
        <v>115</v>
      </c>
      <c r="C22" s="76" t="s">
        <v>301</v>
      </c>
      <c r="D22" s="24" t="s">
        <v>302</v>
      </c>
      <c r="E22" s="24">
        <v>9</v>
      </c>
      <c r="F22" s="24" t="s">
        <v>303</v>
      </c>
      <c r="G22" s="31" t="s">
        <v>304</v>
      </c>
      <c r="H22" s="27" t="s">
        <v>305</v>
      </c>
      <c r="I22" s="27" t="s">
        <v>306</v>
      </c>
    </row>
    <row r="23" ht="28" customHeight="1" spans="1:9" x14ac:dyDescent="0.25">
      <c r="A23" s="75" t="s">
        <v>114</v>
      </c>
      <c r="B23" s="31" t="s">
        <v>115</v>
      </c>
      <c r="C23" s="76" t="s">
        <v>307</v>
      </c>
      <c r="D23" s="24" t="s">
        <v>308</v>
      </c>
      <c r="E23" s="24">
        <v>9</v>
      </c>
      <c r="F23" s="24" t="s">
        <v>303</v>
      </c>
      <c r="G23" s="31" t="s">
        <v>304</v>
      </c>
      <c r="H23" s="27" t="s">
        <v>309</v>
      </c>
      <c r="I23" s="27" t="s">
        <v>310</v>
      </c>
    </row>
    <row r="24" ht="28" customHeight="1" spans="1:9" x14ac:dyDescent="0.25">
      <c r="A24" s="75" t="s">
        <v>114</v>
      </c>
      <c r="B24" s="31" t="s">
        <v>115</v>
      </c>
      <c r="C24" s="76" t="s">
        <v>311</v>
      </c>
      <c r="D24" s="24" t="s">
        <v>312</v>
      </c>
      <c r="E24" s="24">
        <v>10</v>
      </c>
      <c r="F24" s="24" t="s">
        <v>313</v>
      </c>
      <c r="G24" s="31" t="s">
        <v>314</v>
      </c>
      <c r="H24" s="27" t="s">
        <v>315</v>
      </c>
      <c r="I24" s="27" t="s">
        <v>316</v>
      </c>
    </row>
    <row r="25" ht="28" customHeight="1" spans="1:9" x14ac:dyDescent="0.25">
      <c r="A25" s="75" t="s">
        <v>114</v>
      </c>
      <c r="B25" s="31" t="s">
        <v>115</v>
      </c>
      <c r="C25" s="76" t="s">
        <v>317</v>
      </c>
      <c r="D25" s="24" t="s">
        <v>318</v>
      </c>
      <c r="E25" s="24">
        <v>10</v>
      </c>
      <c r="F25" s="24" t="s">
        <v>313</v>
      </c>
      <c r="G25" s="31" t="s">
        <v>314</v>
      </c>
      <c r="H25" s="27" t="s">
        <v>319</v>
      </c>
      <c r="I25" s="27" t="s">
        <v>320</v>
      </c>
    </row>
    <row r="26" ht="28" customHeight="1" spans="1:9" x14ac:dyDescent="0.25">
      <c r="A26" s="77" t="s">
        <v>122</v>
      </c>
      <c r="B26" s="31" t="s">
        <v>123</v>
      </c>
      <c r="C26" s="76" t="s">
        <v>321</v>
      </c>
      <c r="D26" s="24" t="s">
        <v>222</v>
      </c>
      <c r="E26" s="24">
        <v>1</v>
      </c>
      <c r="F26" s="24" t="s">
        <v>322</v>
      </c>
      <c r="G26" s="31" t="s">
        <v>323</v>
      </c>
      <c r="H26" s="27" t="s">
        <v>324</v>
      </c>
      <c r="I26" s="27" t="s">
        <v>325</v>
      </c>
    </row>
    <row r="27" ht="28" customHeight="1" spans="1:9" x14ac:dyDescent="0.25">
      <c r="A27" s="77" t="s">
        <v>122</v>
      </c>
      <c r="B27" s="31" t="s">
        <v>123</v>
      </c>
      <c r="C27" s="76" t="s">
        <v>326</v>
      </c>
      <c r="D27" s="24" t="s">
        <v>229</v>
      </c>
      <c r="E27" s="24">
        <v>2</v>
      </c>
      <c r="F27" s="24" t="s">
        <v>327</v>
      </c>
      <c r="G27" s="31" t="s">
        <v>328</v>
      </c>
      <c r="H27" s="27" t="s">
        <v>329</v>
      </c>
      <c r="I27" s="27" t="s">
        <v>330</v>
      </c>
    </row>
    <row r="28" ht="28" customHeight="1" spans="1:9" x14ac:dyDescent="0.25">
      <c r="A28" s="77" t="s">
        <v>122</v>
      </c>
      <c r="B28" s="31" t="s">
        <v>123</v>
      </c>
      <c r="C28" s="76" t="s">
        <v>331</v>
      </c>
      <c r="D28" s="24" t="s">
        <v>234</v>
      </c>
      <c r="E28" s="24">
        <v>2</v>
      </c>
      <c r="F28" s="24" t="s">
        <v>327</v>
      </c>
      <c r="G28" s="31" t="s">
        <v>328</v>
      </c>
      <c r="H28" s="27" t="s">
        <v>332</v>
      </c>
      <c r="I28" s="27" t="s">
        <v>333</v>
      </c>
    </row>
    <row r="29" ht="28" customHeight="1" spans="1:9" x14ac:dyDescent="0.25">
      <c r="A29" s="77" t="s">
        <v>122</v>
      </c>
      <c r="B29" s="31" t="s">
        <v>123</v>
      </c>
      <c r="C29" s="76" t="s">
        <v>334</v>
      </c>
      <c r="D29" s="24" t="s">
        <v>238</v>
      </c>
      <c r="E29" s="24">
        <v>3</v>
      </c>
      <c r="F29" s="24" t="s">
        <v>293</v>
      </c>
      <c r="G29" s="31" t="s">
        <v>294</v>
      </c>
      <c r="H29" s="27" t="s">
        <v>335</v>
      </c>
      <c r="I29" s="27" t="s">
        <v>336</v>
      </c>
    </row>
    <row r="30" ht="28" customHeight="1" spans="1:9" x14ac:dyDescent="0.25">
      <c r="A30" s="77" t="s">
        <v>122</v>
      </c>
      <c r="B30" s="31" t="s">
        <v>123</v>
      </c>
      <c r="C30" s="76" t="s">
        <v>337</v>
      </c>
      <c r="D30" s="24" t="s">
        <v>242</v>
      </c>
      <c r="E30" s="24">
        <v>3</v>
      </c>
      <c r="F30" s="24" t="s">
        <v>293</v>
      </c>
      <c r="G30" s="31" t="s">
        <v>294</v>
      </c>
      <c r="H30" s="27" t="s">
        <v>338</v>
      </c>
      <c r="I30" s="27" t="s">
        <v>339</v>
      </c>
    </row>
    <row r="31" ht="28" customHeight="1" spans="1:9" x14ac:dyDescent="0.25">
      <c r="A31" s="77" t="s">
        <v>122</v>
      </c>
      <c r="B31" s="31" t="s">
        <v>123</v>
      </c>
      <c r="C31" s="76" t="s">
        <v>340</v>
      </c>
      <c r="D31" s="24" t="s">
        <v>250</v>
      </c>
      <c r="E31" s="24">
        <v>4</v>
      </c>
      <c r="F31" s="24" t="s">
        <v>327</v>
      </c>
      <c r="G31" s="31" t="s">
        <v>328</v>
      </c>
      <c r="H31" s="27" t="s">
        <v>341</v>
      </c>
      <c r="I31" s="27" t="s">
        <v>342</v>
      </c>
    </row>
    <row r="32" ht="28" customHeight="1" spans="1:9" x14ac:dyDescent="0.25">
      <c r="A32" s="77" t="s">
        <v>122</v>
      </c>
      <c r="B32" s="31" t="s">
        <v>123</v>
      </c>
      <c r="C32" s="76" t="s">
        <v>343</v>
      </c>
      <c r="D32" s="24" t="s">
        <v>256</v>
      </c>
      <c r="E32" s="24">
        <v>4</v>
      </c>
      <c r="F32" s="24" t="s">
        <v>327</v>
      </c>
      <c r="G32" s="31" t="s">
        <v>328</v>
      </c>
      <c r="H32" s="27" t="s">
        <v>344</v>
      </c>
      <c r="I32" s="27" t="s">
        <v>345</v>
      </c>
    </row>
    <row r="33" ht="28" customHeight="1" spans="1:9" x14ac:dyDescent="0.25">
      <c r="A33" s="77" t="s">
        <v>122</v>
      </c>
      <c r="B33" s="31" t="s">
        <v>123</v>
      </c>
      <c r="C33" s="76" t="s">
        <v>346</v>
      </c>
      <c r="D33" s="24" t="s">
        <v>260</v>
      </c>
      <c r="E33" s="24">
        <v>5</v>
      </c>
      <c r="F33" s="24" t="s">
        <v>347</v>
      </c>
      <c r="G33" s="31" t="s">
        <v>348</v>
      </c>
      <c r="H33" s="27" t="s">
        <v>349</v>
      </c>
      <c r="I33" s="27" t="s">
        <v>350</v>
      </c>
    </row>
    <row r="34" ht="28" customHeight="1" spans="1:9" x14ac:dyDescent="0.25">
      <c r="A34" s="77" t="s">
        <v>122</v>
      </c>
      <c r="B34" s="31" t="s">
        <v>123</v>
      </c>
      <c r="C34" s="76" t="s">
        <v>351</v>
      </c>
      <c r="D34" s="24" t="s">
        <v>266</v>
      </c>
      <c r="E34" s="24">
        <v>5</v>
      </c>
      <c r="F34" s="24" t="s">
        <v>347</v>
      </c>
      <c r="G34" s="31" t="s">
        <v>348</v>
      </c>
      <c r="H34" s="27" t="s">
        <v>352</v>
      </c>
      <c r="I34" s="27" t="s">
        <v>353</v>
      </c>
    </row>
    <row r="35" ht="28" customHeight="1" spans="1:9" x14ac:dyDescent="0.25">
      <c r="A35" s="77" t="s">
        <v>122</v>
      </c>
      <c r="B35" s="31" t="s">
        <v>123</v>
      </c>
      <c r="C35" s="76" t="s">
        <v>354</v>
      </c>
      <c r="D35" s="24" t="s">
        <v>270</v>
      </c>
      <c r="E35" s="24">
        <v>6</v>
      </c>
      <c r="F35" s="24" t="s">
        <v>355</v>
      </c>
      <c r="G35" s="31" t="s">
        <v>356</v>
      </c>
      <c r="H35" s="27" t="s">
        <v>357</v>
      </c>
      <c r="I35" s="27" t="s">
        <v>358</v>
      </c>
    </row>
    <row r="36" ht="28" customHeight="1" spans="1:9" x14ac:dyDescent="0.25">
      <c r="A36" s="77" t="s">
        <v>122</v>
      </c>
      <c r="B36" s="31" t="s">
        <v>123</v>
      </c>
      <c r="C36" s="76" t="s">
        <v>359</v>
      </c>
      <c r="D36" s="24" t="s">
        <v>274</v>
      </c>
      <c r="E36" s="24">
        <v>6</v>
      </c>
      <c r="F36" s="24" t="s">
        <v>355</v>
      </c>
      <c r="G36" s="31" t="s">
        <v>356</v>
      </c>
      <c r="H36" s="27" t="s">
        <v>360</v>
      </c>
      <c r="I36" s="27" t="s">
        <v>361</v>
      </c>
    </row>
    <row r="37" ht="28" customHeight="1" spans="1:9" x14ac:dyDescent="0.25">
      <c r="A37" s="77" t="s">
        <v>122</v>
      </c>
      <c r="B37" s="31" t="s">
        <v>123</v>
      </c>
      <c r="C37" s="76" t="s">
        <v>362</v>
      </c>
      <c r="D37" s="24" t="s">
        <v>278</v>
      </c>
      <c r="E37" s="24">
        <v>6</v>
      </c>
      <c r="F37" s="24" t="s">
        <v>355</v>
      </c>
      <c r="G37" s="31" t="s">
        <v>356</v>
      </c>
      <c r="H37" s="27" t="s">
        <v>363</v>
      </c>
      <c r="I37" s="27" t="s">
        <v>358</v>
      </c>
    </row>
    <row r="38" ht="28" customHeight="1" spans="1:9" x14ac:dyDescent="0.25">
      <c r="A38" s="77" t="s">
        <v>122</v>
      </c>
      <c r="B38" s="31" t="s">
        <v>123</v>
      </c>
      <c r="C38" s="76" t="s">
        <v>364</v>
      </c>
      <c r="D38" s="24" t="s">
        <v>282</v>
      </c>
      <c r="E38" s="24">
        <v>7</v>
      </c>
      <c r="F38" s="24" t="s">
        <v>365</v>
      </c>
      <c r="G38" s="31" t="s">
        <v>366</v>
      </c>
      <c r="H38" s="27" t="s">
        <v>367</v>
      </c>
      <c r="I38" s="27" t="s">
        <v>368</v>
      </c>
    </row>
    <row r="39" ht="28" customHeight="1" spans="1:9" x14ac:dyDescent="0.25">
      <c r="A39" s="77" t="s">
        <v>122</v>
      </c>
      <c r="B39" s="31" t="s">
        <v>123</v>
      </c>
      <c r="C39" s="76" t="s">
        <v>369</v>
      </c>
      <c r="D39" s="24" t="s">
        <v>288</v>
      </c>
      <c r="E39" s="24">
        <v>7</v>
      </c>
      <c r="F39" s="24" t="s">
        <v>365</v>
      </c>
      <c r="G39" s="31" t="s">
        <v>366</v>
      </c>
      <c r="H39" s="27" t="s">
        <v>370</v>
      </c>
      <c r="I39" s="27" t="s">
        <v>371</v>
      </c>
    </row>
    <row r="40" ht="28" customHeight="1" spans="1:9" x14ac:dyDescent="0.25">
      <c r="A40" s="77" t="s">
        <v>122</v>
      </c>
      <c r="B40" s="31" t="s">
        <v>123</v>
      </c>
      <c r="C40" s="76" t="s">
        <v>372</v>
      </c>
      <c r="D40" s="24" t="s">
        <v>292</v>
      </c>
      <c r="E40" s="24">
        <v>8</v>
      </c>
      <c r="F40" s="24" t="s">
        <v>365</v>
      </c>
      <c r="G40" s="31" t="s">
        <v>366</v>
      </c>
      <c r="H40" s="27" t="s">
        <v>373</v>
      </c>
      <c r="I40" s="27" t="s">
        <v>374</v>
      </c>
    </row>
    <row r="41" ht="28" customHeight="1" spans="1:9" x14ac:dyDescent="0.25">
      <c r="A41" s="77" t="s">
        <v>122</v>
      </c>
      <c r="B41" s="31" t="s">
        <v>123</v>
      </c>
      <c r="C41" s="76" t="s">
        <v>375</v>
      </c>
      <c r="D41" s="24" t="s">
        <v>298</v>
      </c>
      <c r="E41" s="24">
        <v>8</v>
      </c>
      <c r="F41" s="24" t="s">
        <v>365</v>
      </c>
      <c r="G41" s="31" t="s">
        <v>366</v>
      </c>
      <c r="H41" s="27" t="s">
        <v>376</v>
      </c>
      <c r="I41" s="27" t="s">
        <v>377</v>
      </c>
    </row>
    <row r="42" ht="28" customHeight="1" spans="1:9" x14ac:dyDescent="0.25">
      <c r="A42" s="77" t="s">
        <v>122</v>
      </c>
      <c r="B42" s="31" t="s">
        <v>123</v>
      </c>
      <c r="C42" s="76" t="s">
        <v>378</v>
      </c>
      <c r="D42" s="24" t="s">
        <v>379</v>
      </c>
      <c r="E42" s="24">
        <v>8</v>
      </c>
      <c r="F42" s="24" t="s">
        <v>365</v>
      </c>
      <c r="G42" s="31" t="s">
        <v>366</v>
      </c>
      <c r="H42" s="27" t="s">
        <v>380</v>
      </c>
      <c r="I42" s="27" t="s">
        <v>381</v>
      </c>
    </row>
    <row r="43" ht="28" customHeight="1" spans="1:9" x14ac:dyDescent="0.25">
      <c r="A43" s="77" t="s">
        <v>122</v>
      </c>
      <c r="B43" s="31" t="s">
        <v>123</v>
      </c>
      <c r="C43" s="76" t="s">
        <v>382</v>
      </c>
      <c r="D43" s="24" t="s">
        <v>302</v>
      </c>
      <c r="E43" s="24">
        <v>9</v>
      </c>
      <c r="F43" s="24" t="s">
        <v>383</v>
      </c>
      <c r="G43" s="31" t="s">
        <v>384</v>
      </c>
      <c r="H43" s="27" t="s">
        <v>385</v>
      </c>
      <c r="I43" s="27" t="s">
        <v>386</v>
      </c>
    </row>
    <row r="44" ht="28" customHeight="1" spans="1:9" x14ac:dyDescent="0.25">
      <c r="A44" s="77" t="s">
        <v>122</v>
      </c>
      <c r="B44" s="31" t="s">
        <v>123</v>
      </c>
      <c r="C44" s="76" t="s">
        <v>387</v>
      </c>
      <c r="D44" s="24" t="s">
        <v>308</v>
      </c>
      <c r="E44" s="24">
        <v>9</v>
      </c>
      <c r="F44" s="24" t="s">
        <v>383</v>
      </c>
      <c r="G44" s="31" t="s">
        <v>384</v>
      </c>
      <c r="H44" s="27" t="s">
        <v>388</v>
      </c>
      <c r="I44" s="27" t="s">
        <v>389</v>
      </c>
    </row>
    <row r="45" ht="28" customHeight="1" spans="1:9" x14ac:dyDescent="0.25">
      <c r="A45" s="77" t="s">
        <v>122</v>
      </c>
      <c r="B45" s="31" t="s">
        <v>123</v>
      </c>
      <c r="C45" s="76" t="s">
        <v>390</v>
      </c>
      <c r="D45" s="24" t="s">
        <v>391</v>
      </c>
      <c r="E45" s="24">
        <v>9</v>
      </c>
      <c r="F45" s="24" t="s">
        <v>383</v>
      </c>
      <c r="G45" s="31" t="s">
        <v>384</v>
      </c>
      <c r="H45" s="27" t="s">
        <v>392</v>
      </c>
      <c r="I45" s="27" t="s">
        <v>393</v>
      </c>
    </row>
    <row r="46" ht="28" customHeight="1" spans="1:9" x14ac:dyDescent="0.25">
      <c r="A46" s="77" t="s">
        <v>122</v>
      </c>
      <c r="B46" s="31" t="s">
        <v>123</v>
      </c>
      <c r="C46" s="76" t="s">
        <v>394</v>
      </c>
      <c r="D46" s="24" t="s">
        <v>312</v>
      </c>
      <c r="E46" s="24">
        <v>10</v>
      </c>
      <c r="F46" s="24" t="s">
        <v>313</v>
      </c>
      <c r="G46" s="31" t="s">
        <v>314</v>
      </c>
      <c r="H46" s="27" t="s">
        <v>395</v>
      </c>
      <c r="I46" s="27" t="s">
        <v>396</v>
      </c>
    </row>
    <row r="47" ht="28" customHeight="1" spans="1:9" x14ac:dyDescent="0.25">
      <c r="A47" s="77" t="s">
        <v>122</v>
      </c>
      <c r="B47" s="31" t="s">
        <v>123</v>
      </c>
      <c r="C47" s="76" t="s">
        <v>397</v>
      </c>
      <c r="D47" s="24" t="s">
        <v>318</v>
      </c>
      <c r="E47" s="24">
        <v>10</v>
      </c>
      <c r="F47" s="24" t="s">
        <v>313</v>
      </c>
      <c r="G47" s="31" t="s">
        <v>314</v>
      </c>
      <c r="H47" s="27" t="s">
        <v>398</v>
      </c>
      <c r="I47" s="27" t="s">
        <v>399</v>
      </c>
    </row>
    <row r="48" ht="28" customHeight="1" spans="1:9" x14ac:dyDescent="0.25">
      <c r="A48" s="78" t="s">
        <v>126</v>
      </c>
      <c r="B48" s="31" t="s">
        <v>127</v>
      </c>
      <c r="C48" s="76" t="s">
        <v>400</v>
      </c>
      <c r="D48" s="24" t="s">
        <v>216</v>
      </c>
      <c r="E48" s="24">
        <v>1</v>
      </c>
      <c r="F48" s="24" t="s">
        <v>327</v>
      </c>
      <c r="G48" s="31" t="s">
        <v>328</v>
      </c>
      <c r="H48" s="27" t="s">
        <v>401</v>
      </c>
      <c r="I48" s="27" t="s">
        <v>402</v>
      </c>
    </row>
    <row r="49" ht="28" customHeight="1" spans="1:9" x14ac:dyDescent="0.25">
      <c r="A49" s="78" t="s">
        <v>126</v>
      </c>
      <c r="B49" s="31" t="s">
        <v>127</v>
      </c>
      <c r="C49" s="76" t="s">
        <v>403</v>
      </c>
      <c r="D49" s="24" t="s">
        <v>222</v>
      </c>
      <c r="E49" s="24">
        <v>1</v>
      </c>
      <c r="F49" s="24" t="s">
        <v>327</v>
      </c>
      <c r="G49" s="31" t="s">
        <v>328</v>
      </c>
      <c r="H49" s="27" t="s">
        <v>404</v>
      </c>
      <c r="I49" s="27" t="s">
        <v>405</v>
      </c>
    </row>
    <row r="50" ht="28" customHeight="1" spans="1:9" x14ac:dyDescent="0.25">
      <c r="A50" s="78" t="s">
        <v>126</v>
      </c>
      <c r="B50" s="31" t="s">
        <v>127</v>
      </c>
      <c r="C50" s="76" t="s">
        <v>406</v>
      </c>
      <c r="D50" s="24" t="s">
        <v>225</v>
      </c>
      <c r="E50" s="24">
        <v>1</v>
      </c>
      <c r="F50" s="24" t="s">
        <v>327</v>
      </c>
      <c r="G50" s="31" t="s">
        <v>328</v>
      </c>
      <c r="H50" s="27" t="s">
        <v>407</v>
      </c>
      <c r="I50" s="27" t="s">
        <v>408</v>
      </c>
    </row>
    <row r="51" ht="28" customHeight="1" spans="1:9" x14ac:dyDescent="0.25">
      <c r="A51" s="78" t="s">
        <v>126</v>
      </c>
      <c r="B51" s="31" t="s">
        <v>127</v>
      </c>
      <c r="C51" s="76" t="s">
        <v>409</v>
      </c>
      <c r="D51" s="24" t="s">
        <v>229</v>
      </c>
      <c r="E51" s="24">
        <v>2</v>
      </c>
      <c r="F51" s="24" t="s">
        <v>347</v>
      </c>
      <c r="G51" s="31" t="s">
        <v>348</v>
      </c>
      <c r="H51" s="27" t="s">
        <v>410</v>
      </c>
      <c r="I51" s="27" t="s">
        <v>411</v>
      </c>
    </row>
    <row r="52" ht="28" customHeight="1" spans="1:9" x14ac:dyDescent="0.25">
      <c r="A52" s="78" t="s">
        <v>126</v>
      </c>
      <c r="B52" s="31" t="s">
        <v>127</v>
      </c>
      <c r="C52" s="76" t="s">
        <v>412</v>
      </c>
      <c r="D52" s="24" t="s">
        <v>234</v>
      </c>
      <c r="E52" s="24">
        <v>2</v>
      </c>
      <c r="F52" s="24" t="s">
        <v>347</v>
      </c>
      <c r="G52" s="31" t="s">
        <v>348</v>
      </c>
      <c r="H52" s="27" t="s">
        <v>413</v>
      </c>
      <c r="I52" s="27" t="s">
        <v>414</v>
      </c>
    </row>
    <row r="53" ht="28" customHeight="1" spans="1:9" x14ac:dyDescent="0.25">
      <c r="A53" s="78" t="s">
        <v>126</v>
      </c>
      <c r="B53" s="31" t="s">
        <v>127</v>
      </c>
      <c r="C53" s="76" t="s">
        <v>415</v>
      </c>
      <c r="D53" s="24" t="s">
        <v>416</v>
      </c>
      <c r="E53" s="24">
        <v>2</v>
      </c>
      <c r="F53" s="24" t="s">
        <v>347</v>
      </c>
      <c r="G53" s="31" t="s">
        <v>348</v>
      </c>
      <c r="H53" s="27" t="s">
        <v>417</v>
      </c>
      <c r="I53" s="27" t="s">
        <v>418</v>
      </c>
    </row>
    <row r="54" ht="28" customHeight="1" spans="1:9" x14ac:dyDescent="0.25">
      <c r="A54" s="78" t="s">
        <v>126</v>
      </c>
      <c r="B54" s="31" t="s">
        <v>127</v>
      </c>
      <c r="C54" s="76" t="s">
        <v>419</v>
      </c>
      <c r="D54" s="24" t="s">
        <v>238</v>
      </c>
      <c r="E54" s="24">
        <v>3</v>
      </c>
      <c r="F54" s="24" t="s">
        <v>420</v>
      </c>
      <c r="G54" s="31" t="s">
        <v>421</v>
      </c>
      <c r="H54" s="27" t="s">
        <v>422</v>
      </c>
      <c r="I54" s="27" t="s">
        <v>423</v>
      </c>
    </row>
    <row r="55" ht="28" customHeight="1" spans="1:9" x14ac:dyDescent="0.25">
      <c r="A55" s="78" t="s">
        <v>126</v>
      </c>
      <c r="B55" s="31" t="s">
        <v>127</v>
      </c>
      <c r="C55" s="76" t="s">
        <v>424</v>
      </c>
      <c r="D55" s="24" t="s">
        <v>242</v>
      </c>
      <c r="E55" s="24">
        <v>3</v>
      </c>
      <c r="F55" s="24" t="s">
        <v>420</v>
      </c>
      <c r="G55" s="31" t="s">
        <v>421</v>
      </c>
      <c r="H55" s="27" t="s">
        <v>425</v>
      </c>
      <c r="I55" s="27" t="s">
        <v>426</v>
      </c>
    </row>
    <row r="56" ht="28" customHeight="1" spans="1:9" x14ac:dyDescent="0.25">
      <c r="A56" s="78" t="s">
        <v>126</v>
      </c>
      <c r="B56" s="31" t="s">
        <v>127</v>
      </c>
      <c r="C56" s="76" t="s">
        <v>427</v>
      </c>
      <c r="D56" s="24" t="s">
        <v>250</v>
      </c>
      <c r="E56" s="24">
        <v>4</v>
      </c>
      <c r="F56" s="24" t="s">
        <v>420</v>
      </c>
      <c r="G56" s="31" t="s">
        <v>421</v>
      </c>
      <c r="H56" s="27" t="s">
        <v>428</v>
      </c>
      <c r="I56" s="27" t="s">
        <v>429</v>
      </c>
    </row>
    <row r="57" ht="28" customHeight="1" spans="1:9" x14ac:dyDescent="0.25">
      <c r="A57" s="78" t="s">
        <v>126</v>
      </c>
      <c r="B57" s="31" t="s">
        <v>127</v>
      </c>
      <c r="C57" s="76" t="s">
        <v>430</v>
      </c>
      <c r="D57" s="24" t="s">
        <v>256</v>
      </c>
      <c r="E57" s="24">
        <v>4</v>
      </c>
      <c r="F57" s="24" t="s">
        <v>420</v>
      </c>
      <c r="G57" s="31" t="s">
        <v>421</v>
      </c>
      <c r="H57" s="27" t="s">
        <v>431</v>
      </c>
      <c r="I57" s="27" t="s">
        <v>418</v>
      </c>
    </row>
    <row r="58" ht="28" customHeight="1" spans="1:9" x14ac:dyDescent="0.25">
      <c r="A58" s="78" t="s">
        <v>126</v>
      </c>
      <c r="B58" s="31" t="s">
        <v>127</v>
      </c>
      <c r="C58" s="76" t="s">
        <v>432</v>
      </c>
      <c r="D58" s="24" t="s">
        <v>260</v>
      </c>
      <c r="E58" s="24">
        <v>5</v>
      </c>
      <c r="F58" s="24" t="s">
        <v>383</v>
      </c>
      <c r="G58" s="31" t="s">
        <v>384</v>
      </c>
      <c r="H58" s="27" t="s">
        <v>433</v>
      </c>
      <c r="I58" s="27" t="s">
        <v>434</v>
      </c>
    </row>
    <row r="59" ht="28" customHeight="1" spans="1:9" x14ac:dyDescent="0.25">
      <c r="A59" s="78" t="s">
        <v>126</v>
      </c>
      <c r="B59" s="31" t="s">
        <v>127</v>
      </c>
      <c r="C59" s="76" t="s">
        <v>435</v>
      </c>
      <c r="D59" s="24" t="s">
        <v>266</v>
      </c>
      <c r="E59" s="24">
        <v>5</v>
      </c>
      <c r="F59" s="24" t="s">
        <v>383</v>
      </c>
      <c r="G59" s="31" t="s">
        <v>384</v>
      </c>
      <c r="H59" s="27" t="s">
        <v>436</v>
      </c>
      <c r="I59" s="27" t="s">
        <v>437</v>
      </c>
    </row>
    <row r="60" ht="28" customHeight="1" spans="1:9" x14ac:dyDescent="0.25">
      <c r="A60" s="78" t="s">
        <v>126</v>
      </c>
      <c r="B60" s="31" t="s">
        <v>127</v>
      </c>
      <c r="C60" s="76" t="s">
        <v>438</v>
      </c>
      <c r="D60" s="24" t="s">
        <v>439</v>
      </c>
      <c r="E60" s="24">
        <v>5</v>
      </c>
      <c r="F60" s="24" t="s">
        <v>383</v>
      </c>
      <c r="G60" s="31" t="s">
        <v>384</v>
      </c>
      <c r="H60" s="27" t="s">
        <v>440</v>
      </c>
      <c r="I60" s="27" t="s">
        <v>441</v>
      </c>
    </row>
    <row r="61" ht="28" customHeight="1" spans="1:9" x14ac:dyDescent="0.25">
      <c r="A61" s="78" t="s">
        <v>126</v>
      </c>
      <c r="B61" s="31" t="s">
        <v>127</v>
      </c>
      <c r="C61" s="76" t="s">
        <v>442</v>
      </c>
      <c r="D61" s="24" t="s">
        <v>270</v>
      </c>
      <c r="E61" s="24">
        <v>6</v>
      </c>
      <c r="F61" s="24" t="s">
        <v>322</v>
      </c>
      <c r="G61" s="31" t="s">
        <v>323</v>
      </c>
      <c r="H61" s="27" t="s">
        <v>443</v>
      </c>
      <c r="I61" s="27" t="s">
        <v>444</v>
      </c>
    </row>
    <row r="62" ht="28" customHeight="1" spans="1:9" x14ac:dyDescent="0.25">
      <c r="A62" s="78" t="s">
        <v>126</v>
      </c>
      <c r="B62" s="31" t="s">
        <v>127</v>
      </c>
      <c r="C62" s="76" t="s">
        <v>445</v>
      </c>
      <c r="D62" s="24" t="s">
        <v>274</v>
      </c>
      <c r="E62" s="24">
        <v>6</v>
      </c>
      <c r="F62" s="24" t="s">
        <v>322</v>
      </c>
      <c r="G62" s="31" t="s">
        <v>323</v>
      </c>
      <c r="H62" s="27" t="s">
        <v>446</v>
      </c>
      <c r="I62" s="27" t="s">
        <v>447</v>
      </c>
    </row>
    <row r="63" ht="28" customHeight="1" spans="1:9" x14ac:dyDescent="0.25">
      <c r="A63" s="78" t="s">
        <v>126</v>
      </c>
      <c r="B63" s="31" t="s">
        <v>127</v>
      </c>
      <c r="C63" s="76" t="s">
        <v>448</v>
      </c>
      <c r="D63" s="24" t="s">
        <v>278</v>
      </c>
      <c r="E63" s="24">
        <v>6</v>
      </c>
      <c r="F63" s="24" t="s">
        <v>322</v>
      </c>
      <c r="G63" s="31" t="s">
        <v>323</v>
      </c>
      <c r="H63" s="27" t="s">
        <v>449</v>
      </c>
      <c r="I63" s="27" t="s">
        <v>450</v>
      </c>
    </row>
    <row r="64" ht="28" customHeight="1" spans="1:9" x14ac:dyDescent="0.25">
      <c r="A64" s="79" t="s">
        <v>130</v>
      </c>
      <c r="B64" s="31" t="s">
        <v>131</v>
      </c>
      <c r="C64" s="76" t="s">
        <v>451</v>
      </c>
      <c r="D64" s="24" t="s">
        <v>216</v>
      </c>
      <c r="E64" s="24">
        <v>1</v>
      </c>
      <c r="F64" s="24" t="s">
        <v>355</v>
      </c>
      <c r="G64" s="31" t="s">
        <v>356</v>
      </c>
      <c r="H64" s="27" t="s">
        <v>452</v>
      </c>
      <c r="I64" s="27" t="s">
        <v>325</v>
      </c>
    </row>
    <row r="65" ht="28" customHeight="1" spans="1:9" x14ac:dyDescent="0.25">
      <c r="A65" s="79" t="s">
        <v>130</v>
      </c>
      <c r="B65" s="31" t="s">
        <v>131</v>
      </c>
      <c r="C65" s="76" t="s">
        <v>453</v>
      </c>
      <c r="D65" s="24" t="s">
        <v>222</v>
      </c>
      <c r="E65" s="24">
        <v>1</v>
      </c>
      <c r="F65" s="24" t="s">
        <v>355</v>
      </c>
      <c r="G65" s="31" t="s">
        <v>356</v>
      </c>
      <c r="H65" s="27" t="s">
        <v>454</v>
      </c>
      <c r="I65" s="27" t="s">
        <v>455</v>
      </c>
    </row>
    <row r="66" ht="28" customHeight="1" spans="1:9" x14ac:dyDescent="0.25">
      <c r="A66" s="79" t="s">
        <v>130</v>
      </c>
      <c r="B66" s="31" t="s">
        <v>131</v>
      </c>
      <c r="C66" s="76" t="s">
        <v>456</v>
      </c>
      <c r="D66" s="24" t="s">
        <v>229</v>
      </c>
      <c r="E66" s="24">
        <v>2</v>
      </c>
      <c r="F66" s="24" t="s">
        <v>457</v>
      </c>
      <c r="G66" s="31" t="s">
        <v>458</v>
      </c>
      <c r="H66" s="27" t="s">
        <v>459</v>
      </c>
      <c r="I66" s="27" t="s">
        <v>460</v>
      </c>
    </row>
    <row r="67" ht="28" customHeight="1" spans="1:9" x14ac:dyDescent="0.25">
      <c r="A67" s="79" t="s">
        <v>130</v>
      </c>
      <c r="B67" s="31" t="s">
        <v>131</v>
      </c>
      <c r="C67" s="76" t="s">
        <v>461</v>
      </c>
      <c r="D67" s="24" t="s">
        <v>234</v>
      </c>
      <c r="E67" s="24">
        <v>2</v>
      </c>
      <c r="F67" s="24" t="s">
        <v>457</v>
      </c>
      <c r="G67" s="31" t="s">
        <v>458</v>
      </c>
      <c r="H67" s="27" t="s">
        <v>462</v>
      </c>
      <c r="I67" s="27" t="s">
        <v>463</v>
      </c>
    </row>
    <row r="68" ht="28" customHeight="1" spans="1:9" x14ac:dyDescent="0.25">
      <c r="A68" s="79" t="s">
        <v>130</v>
      </c>
      <c r="B68" s="31" t="s">
        <v>131</v>
      </c>
      <c r="C68" s="76" t="s">
        <v>464</v>
      </c>
      <c r="D68" s="24" t="s">
        <v>416</v>
      </c>
      <c r="E68" s="24">
        <v>2</v>
      </c>
      <c r="F68" s="24" t="s">
        <v>457</v>
      </c>
      <c r="G68" s="31" t="s">
        <v>458</v>
      </c>
      <c r="H68" s="27" t="s">
        <v>465</v>
      </c>
      <c r="I68" s="27" t="s">
        <v>466</v>
      </c>
    </row>
    <row r="69" ht="28" customHeight="1" spans="1:9" x14ac:dyDescent="0.25">
      <c r="A69" s="79" t="s">
        <v>130</v>
      </c>
      <c r="B69" s="31" t="s">
        <v>131</v>
      </c>
      <c r="C69" s="76" t="s">
        <v>467</v>
      </c>
      <c r="D69" s="24" t="s">
        <v>468</v>
      </c>
      <c r="E69" s="24">
        <v>2</v>
      </c>
      <c r="F69" s="24" t="s">
        <v>457</v>
      </c>
      <c r="G69" s="31" t="s">
        <v>458</v>
      </c>
      <c r="H69" s="27" t="s">
        <v>469</v>
      </c>
      <c r="I69" s="27" t="s">
        <v>470</v>
      </c>
    </row>
    <row r="70" ht="28" customHeight="1" spans="1:9" x14ac:dyDescent="0.25">
      <c r="A70" s="79" t="s">
        <v>130</v>
      </c>
      <c r="B70" s="31" t="s">
        <v>131</v>
      </c>
      <c r="C70" s="76" t="s">
        <v>471</v>
      </c>
      <c r="D70" s="24" t="s">
        <v>238</v>
      </c>
      <c r="E70" s="24">
        <v>3</v>
      </c>
      <c r="F70" s="24" t="s">
        <v>472</v>
      </c>
      <c r="G70" s="31" t="s">
        <v>473</v>
      </c>
      <c r="H70" s="27" t="s">
        <v>474</v>
      </c>
      <c r="I70" s="27" t="s">
        <v>466</v>
      </c>
    </row>
    <row r="71" ht="28" customHeight="1" spans="1:9" x14ac:dyDescent="0.25">
      <c r="A71" s="79" t="s">
        <v>130</v>
      </c>
      <c r="B71" s="31" t="s">
        <v>131</v>
      </c>
      <c r="C71" s="76" t="s">
        <v>475</v>
      </c>
      <c r="D71" s="24" t="s">
        <v>242</v>
      </c>
      <c r="E71" s="24">
        <v>3</v>
      </c>
      <c r="F71" s="24" t="s">
        <v>472</v>
      </c>
      <c r="G71" s="31" t="s">
        <v>473</v>
      </c>
      <c r="H71" s="27" t="s">
        <v>476</v>
      </c>
      <c r="I71" s="27" t="s">
        <v>477</v>
      </c>
    </row>
    <row r="72" ht="28" customHeight="1" spans="1:9" x14ac:dyDescent="0.25">
      <c r="A72" s="79" t="s">
        <v>130</v>
      </c>
      <c r="B72" s="31" t="s">
        <v>131</v>
      </c>
      <c r="C72" s="76" t="s">
        <v>478</v>
      </c>
      <c r="D72" s="24" t="s">
        <v>246</v>
      </c>
      <c r="E72" s="24">
        <v>3</v>
      </c>
      <c r="F72" s="24" t="s">
        <v>472</v>
      </c>
      <c r="G72" s="31" t="s">
        <v>473</v>
      </c>
      <c r="H72" s="27" t="s">
        <v>479</v>
      </c>
      <c r="I72" s="27" t="s">
        <v>480</v>
      </c>
    </row>
    <row r="73" ht="28" customHeight="1" spans="1:9" x14ac:dyDescent="0.25">
      <c r="A73" s="79" t="s">
        <v>130</v>
      </c>
      <c r="B73" s="31" t="s">
        <v>131</v>
      </c>
      <c r="C73" s="76" t="s">
        <v>481</v>
      </c>
      <c r="D73" s="24" t="s">
        <v>482</v>
      </c>
      <c r="E73" s="24">
        <v>3</v>
      </c>
      <c r="F73" s="24" t="s">
        <v>472</v>
      </c>
      <c r="G73" s="31" t="s">
        <v>473</v>
      </c>
      <c r="H73" s="27" t="s">
        <v>483</v>
      </c>
      <c r="I73" s="27" t="s">
        <v>484</v>
      </c>
    </row>
    <row r="74" ht="28" customHeight="1" spans="1:9" x14ac:dyDescent="0.25">
      <c r="A74" s="79" t="s">
        <v>130</v>
      </c>
      <c r="B74" s="31" t="s">
        <v>131</v>
      </c>
      <c r="C74" s="76" t="s">
        <v>485</v>
      </c>
      <c r="D74" s="24" t="s">
        <v>486</v>
      </c>
      <c r="E74" s="24">
        <v>3</v>
      </c>
      <c r="F74" s="24" t="s">
        <v>472</v>
      </c>
      <c r="G74" s="31" t="s">
        <v>473</v>
      </c>
      <c r="H74" s="27" t="s">
        <v>487</v>
      </c>
      <c r="I74" s="27" t="s">
        <v>488</v>
      </c>
    </row>
    <row r="75" ht="28" customHeight="1" spans="1:9" x14ac:dyDescent="0.25">
      <c r="A75" s="79" t="s">
        <v>130</v>
      </c>
      <c r="B75" s="31" t="s">
        <v>131</v>
      </c>
      <c r="C75" s="76" t="s">
        <v>489</v>
      </c>
      <c r="D75" s="24" t="s">
        <v>250</v>
      </c>
      <c r="E75" s="24">
        <v>4</v>
      </c>
      <c r="F75" s="24" t="s">
        <v>490</v>
      </c>
      <c r="G75" s="31" t="s">
        <v>491</v>
      </c>
      <c r="H75" s="27" t="s">
        <v>492</v>
      </c>
      <c r="I75" s="27" t="s">
        <v>493</v>
      </c>
    </row>
    <row r="76" ht="28" customHeight="1" spans="1:9" x14ac:dyDescent="0.25">
      <c r="A76" s="79" t="s">
        <v>130</v>
      </c>
      <c r="B76" s="31" t="s">
        <v>131</v>
      </c>
      <c r="C76" s="76" t="s">
        <v>494</v>
      </c>
      <c r="D76" s="24" t="s">
        <v>256</v>
      </c>
      <c r="E76" s="24">
        <v>4</v>
      </c>
      <c r="F76" s="24" t="s">
        <v>490</v>
      </c>
      <c r="G76" s="31" t="s">
        <v>491</v>
      </c>
      <c r="H76" s="27" t="s">
        <v>495</v>
      </c>
      <c r="I76" s="27" t="s">
        <v>496</v>
      </c>
    </row>
    <row r="77" ht="28" customHeight="1" spans="1:9" x14ac:dyDescent="0.25">
      <c r="A77" s="79" t="s">
        <v>130</v>
      </c>
      <c r="B77" s="31" t="s">
        <v>131</v>
      </c>
      <c r="C77" s="76" t="s">
        <v>497</v>
      </c>
      <c r="D77" s="24" t="s">
        <v>498</v>
      </c>
      <c r="E77" s="24">
        <v>4</v>
      </c>
      <c r="F77" s="24" t="s">
        <v>490</v>
      </c>
      <c r="G77" s="31" t="s">
        <v>491</v>
      </c>
      <c r="H77" s="27" t="s">
        <v>499</v>
      </c>
      <c r="I77" s="27" t="s">
        <v>500</v>
      </c>
    </row>
    <row r="78" ht="28" customHeight="1" spans="1:9" x14ac:dyDescent="0.25">
      <c r="A78" s="79" t="s">
        <v>130</v>
      </c>
      <c r="B78" s="31" t="s">
        <v>131</v>
      </c>
      <c r="C78" s="76" t="s">
        <v>501</v>
      </c>
      <c r="D78" s="24" t="s">
        <v>260</v>
      </c>
      <c r="E78" s="24">
        <v>5</v>
      </c>
      <c r="F78" s="24" t="s">
        <v>457</v>
      </c>
      <c r="G78" s="31" t="s">
        <v>458</v>
      </c>
      <c r="H78" s="27" t="s">
        <v>502</v>
      </c>
      <c r="I78" s="27" t="s">
        <v>503</v>
      </c>
    </row>
    <row r="79" ht="28" customHeight="1" spans="1:9" x14ac:dyDescent="0.25">
      <c r="A79" s="79" t="s">
        <v>130</v>
      </c>
      <c r="B79" s="31" t="s">
        <v>131</v>
      </c>
      <c r="C79" s="76" t="s">
        <v>504</v>
      </c>
      <c r="D79" s="24" t="s">
        <v>266</v>
      </c>
      <c r="E79" s="24">
        <v>5</v>
      </c>
      <c r="F79" s="24" t="s">
        <v>457</v>
      </c>
      <c r="G79" s="31" t="s">
        <v>458</v>
      </c>
      <c r="H79" s="27" t="s">
        <v>505</v>
      </c>
      <c r="I79" s="27" t="s">
        <v>506</v>
      </c>
    </row>
    <row r="80" ht="28" customHeight="1" spans="1:9" x14ac:dyDescent="0.25">
      <c r="A80" s="79" t="s">
        <v>130</v>
      </c>
      <c r="B80" s="31" t="s">
        <v>131</v>
      </c>
      <c r="C80" s="76" t="s">
        <v>507</v>
      </c>
      <c r="D80" s="24" t="s">
        <v>439</v>
      </c>
      <c r="E80" s="24">
        <v>5</v>
      </c>
      <c r="F80" s="24" t="s">
        <v>457</v>
      </c>
      <c r="G80" s="31" t="s">
        <v>458</v>
      </c>
      <c r="H80" s="27" t="s">
        <v>508</v>
      </c>
      <c r="I80" s="27" t="s">
        <v>509</v>
      </c>
    </row>
    <row r="81" ht="28" customHeight="1" spans="1:9" x14ac:dyDescent="0.25">
      <c r="A81" s="79" t="s">
        <v>130</v>
      </c>
      <c r="B81" s="31" t="s">
        <v>131</v>
      </c>
      <c r="C81" s="76" t="s">
        <v>510</v>
      </c>
      <c r="D81" s="24" t="s">
        <v>270</v>
      </c>
      <c r="E81" s="24">
        <v>6</v>
      </c>
      <c r="F81" s="24" t="s">
        <v>322</v>
      </c>
      <c r="G81" s="31" t="s">
        <v>323</v>
      </c>
      <c r="H81" s="27" t="s">
        <v>511</v>
      </c>
      <c r="I81" s="27" t="s">
        <v>512</v>
      </c>
    </row>
    <row r="82" ht="28" customHeight="1" spans="1:9" x14ac:dyDescent="0.25">
      <c r="A82" s="79" t="s">
        <v>130</v>
      </c>
      <c r="B82" s="31" t="s">
        <v>131</v>
      </c>
      <c r="C82" s="76" t="s">
        <v>513</v>
      </c>
      <c r="D82" s="24" t="s">
        <v>274</v>
      </c>
      <c r="E82" s="24">
        <v>6</v>
      </c>
      <c r="F82" s="24" t="s">
        <v>322</v>
      </c>
      <c r="G82" s="31" t="s">
        <v>323</v>
      </c>
      <c r="H82" s="27" t="s">
        <v>514</v>
      </c>
      <c r="I82" s="27" t="s">
        <v>515</v>
      </c>
    </row>
    <row r="83" ht="28" customHeight="1" spans="1:9" x14ac:dyDescent="0.25">
      <c r="A83" s="79" t="s">
        <v>130</v>
      </c>
      <c r="B83" s="31" t="s">
        <v>131</v>
      </c>
      <c r="C83" s="76" t="s">
        <v>516</v>
      </c>
      <c r="D83" s="24" t="s">
        <v>278</v>
      </c>
      <c r="E83" s="24">
        <v>6</v>
      </c>
      <c r="F83" s="24" t="s">
        <v>322</v>
      </c>
      <c r="G83" s="31" t="s">
        <v>323</v>
      </c>
      <c r="H83" s="27" t="s">
        <v>517</v>
      </c>
      <c r="I83" s="27" t="s">
        <v>518</v>
      </c>
    </row>
    <row r="84" ht="28" customHeight="1" spans="1:9" x14ac:dyDescent="0.25">
      <c r="A84" s="79" t="s">
        <v>130</v>
      </c>
      <c r="B84" s="31" t="s">
        <v>131</v>
      </c>
      <c r="C84" s="76" t="s">
        <v>519</v>
      </c>
      <c r="D84" s="24" t="s">
        <v>520</v>
      </c>
      <c r="E84" s="24">
        <v>6</v>
      </c>
      <c r="F84" s="24" t="s">
        <v>322</v>
      </c>
      <c r="G84" s="31" t="s">
        <v>323</v>
      </c>
      <c r="H84" s="27" t="s">
        <v>521</v>
      </c>
      <c r="I84" s="27" t="s">
        <v>522</v>
      </c>
    </row>
    <row r="85" ht="28" customHeight="1" spans="1:9" x14ac:dyDescent="0.25">
      <c r="A85" s="79" t="s">
        <v>130</v>
      </c>
      <c r="B85" s="31" t="s">
        <v>131</v>
      </c>
      <c r="C85" s="76" t="s">
        <v>523</v>
      </c>
      <c r="D85" s="24" t="s">
        <v>282</v>
      </c>
      <c r="E85" s="24">
        <v>7</v>
      </c>
      <c r="F85" s="24" t="s">
        <v>524</v>
      </c>
      <c r="G85" s="31" t="s">
        <v>525</v>
      </c>
      <c r="H85" s="27" t="s">
        <v>526</v>
      </c>
      <c r="I85" s="27" t="s">
        <v>527</v>
      </c>
    </row>
    <row r="86" ht="28" customHeight="1" spans="1:9" x14ac:dyDescent="0.25">
      <c r="A86" s="79" t="s">
        <v>130</v>
      </c>
      <c r="B86" s="31" t="s">
        <v>131</v>
      </c>
      <c r="C86" s="76" t="s">
        <v>528</v>
      </c>
      <c r="D86" s="24" t="s">
        <v>288</v>
      </c>
      <c r="E86" s="24">
        <v>7</v>
      </c>
      <c r="F86" s="24" t="s">
        <v>524</v>
      </c>
      <c r="G86" s="31" t="s">
        <v>525</v>
      </c>
      <c r="H86" s="27" t="s">
        <v>529</v>
      </c>
      <c r="I86" s="27" t="s">
        <v>530</v>
      </c>
    </row>
    <row r="87" ht="28" customHeight="1" spans="1:9" x14ac:dyDescent="0.25">
      <c r="A87" s="79" t="s">
        <v>130</v>
      </c>
      <c r="B87" s="31" t="s">
        <v>131</v>
      </c>
      <c r="C87" s="76" t="s">
        <v>531</v>
      </c>
      <c r="D87" s="24" t="s">
        <v>532</v>
      </c>
      <c r="E87" s="24">
        <v>7</v>
      </c>
      <c r="F87" s="24" t="s">
        <v>524</v>
      </c>
      <c r="G87" s="31" t="s">
        <v>525</v>
      </c>
      <c r="H87" s="27" t="s">
        <v>533</v>
      </c>
      <c r="I87" s="27" t="s">
        <v>534</v>
      </c>
    </row>
    <row r="88" ht="28" customHeight="1" spans="1:9" x14ac:dyDescent="0.25">
      <c r="A88" s="79" t="s">
        <v>130</v>
      </c>
      <c r="B88" s="31" t="s">
        <v>131</v>
      </c>
      <c r="C88" s="76" t="s">
        <v>535</v>
      </c>
      <c r="D88" s="24" t="s">
        <v>536</v>
      </c>
      <c r="E88" s="24">
        <v>7</v>
      </c>
      <c r="F88" s="24" t="s">
        <v>524</v>
      </c>
      <c r="G88" s="31" t="s">
        <v>525</v>
      </c>
      <c r="H88" s="27" t="s">
        <v>537</v>
      </c>
      <c r="I88" s="27" t="s">
        <v>538</v>
      </c>
    </row>
    <row r="89" ht="28" customHeight="1" spans="1:9" x14ac:dyDescent="0.25">
      <c r="A89" s="79" t="s">
        <v>130</v>
      </c>
      <c r="B89" s="31" t="s">
        <v>131</v>
      </c>
      <c r="C89" s="76" t="s">
        <v>539</v>
      </c>
      <c r="D89" s="24" t="s">
        <v>292</v>
      </c>
      <c r="E89" s="24">
        <v>8</v>
      </c>
      <c r="F89" s="24" t="s">
        <v>472</v>
      </c>
      <c r="G89" s="31" t="s">
        <v>473</v>
      </c>
      <c r="H89" s="27" t="s">
        <v>540</v>
      </c>
      <c r="I89" s="27" t="s">
        <v>541</v>
      </c>
    </row>
    <row r="90" ht="28" customHeight="1" spans="1:9" x14ac:dyDescent="0.25">
      <c r="A90" s="79" t="s">
        <v>130</v>
      </c>
      <c r="B90" s="31" t="s">
        <v>131</v>
      </c>
      <c r="C90" s="76" t="s">
        <v>542</v>
      </c>
      <c r="D90" s="24" t="s">
        <v>298</v>
      </c>
      <c r="E90" s="24">
        <v>8</v>
      </c>
      <c r="F90" s="24" t="s">
        <v>472</v>
      </c>
      <c r="G90" s="31" t="s">
        <v>473</v>
      </c>
      <c r="H90" s="27" t="s">
        <v>543</v>
      </c>
      <c r="I90" s="27" t="s">
        <v>544</v>
      </c>
    </row>
    <row r="91" ht="28" customHeight="1" spans="1:9" x14ac:dyDescent="0.25">
      <c r="A91" s="79" t="s">
        <v>130</v>
      </c>
      <c r="B91" s="31" t="s">
        <v>131</v>
      </c>
      <c r="C91" s="76" t="s">
        <v>545</v>
      </c>
      <c r="D91" s="24" t="s">
        <v>379</v>
      </c>
      <c r="E91" s="24">
        <v>8</v>
      </c>
      <c r="F91" s="24" t="s">
        <v>472</v>
      </c>
      <c r="G91" s="31" t="s">
        <v>473</v>
      </c>
      <c r="H91" s="27" t="s">
        <v>546</v>
      </c>
      <c r="I91" s="27" t="s">
        <v>547</v>
      </c>
    </row>
    <row r="92" ht="28" customHeight="1" spans="1:9" x14ac:dyDescent="0.25">
      <c r="A92" s="79" t="s">
        <v>130</v>
      </c>
      <c r="B92" s="31" t="s">
        <v>131</v>
      </c>
      <c r="C92" s="76" t="s">
        <v>548</v>
      </c>
      <c r="D92" s="24" t="s">
        <v>302</v>
      </c>
      <c r="E92" s="24">
        <v>9</v>
      </c>
      <c r="F92" s="24" t="s">
        <v>549</v>
      </c>
      <c r="G92" s="31" t="s">
        <v>550</v>
      </c>
      <c r="H92" s="27" t="s">
        <v>551</v>
      </c>
      <c r="I92" s="27" t="s">
        <v>552</v>
      </c>
    </row>
    <row r="93" ht="28" customHeight="1" spans="1:9" x14ac:dyDescent="0.25">
      <c r="A93" s="79" t="s">
        <v>130</v>
      </c>
      <c r="B93" s="31" t="s">
        <v>131</v>
      </c>
      <c r="C93" s="76" t="s">
        <v>553</v>
      </c>
      <c r="D93" s="24" t="s">
        <v>308</v>
      </c>
      <c r="E93" s="24">
        <v>9</v>
      </c>
      <c r="F93" s="24" t="s">
        <v>549</v>
      </c>
      <c r="G93" s="31" t="s">
        <v>550</v>
      </c>
      <c r="H93" s="27" t="s">
        <v>554</v>
      </c>
      <c r="I93" s="27" t="s">
        <v>555</v>
      </c>
    </row>
    <row r="94" ht="28" customHeight="1" spans="1:9" x14ac:dyDescent="0.25">
      <c r="A94" s="80" t="s">
        <v>134</v>
      </c>
      <c r="B94" s="31" t="s">
        <v>135</v>
      </c>
      <c r="C94" s="76" t="s">
        <v>556</v>
      </c>
      <c r="D94" s="24" t="s">
        <v>216</v>
      </c>
      <c r="E94" s="24">
        <v>1</v>
      </c>
      <c r="F94" s="24" t="s">
        <v>283</v>
      </c>
      <c r="G94" s="31" t="s">
        <v>284</v>
      </c>
      <c r="H94" s="27" t="s">
        <v>557</v>
      </c>
      <c r="I94" s="27" t="s">
        <v>558</v>
      </c>
    </row>
    <row r="95" ht="28" customHeight="1" spans="1:9" x14ac:dyDescent="0.25">
      <c r="A95" s="80" t="s">
        <v>134</v>
      </c>
      <c r="B95" s="31" t="s">
        <v>135</v>
      </c>
      <c r="C95" s="76" t="s">
        <v>559</v>
      </c>
      <c r="D95" s="24" t="s">
        <v>222</v>
      </c>
      <c r="E95" s="24">
        <v>1</v>
      </c>
      <c r="F95" s="24" t="s">
        <v>283</v>
      </c>
      <c r="G95" s="31" t="s">
        <v>284</v>
      </c>
      <c r="H95" s="27" t="s">
        <v>560</v>
      </c>
      <c r="I95" s="27" t="s">
        <v>561</v>
      </c>
    </row>
    <row r="96" ht="28" customHeight="1" spans="1:9" x14ac:dyDescent="0.25">
      <c r="A96" s="80" t="s">
        <v>134</v>
      </c>
      <c r="B96" s="31" t="s">
        <v>135</v>
      </c>
      <c r="C96" s="76" t="s">
        <v>562</v>
      </c>
      <c r="D96" s="24" t="s">
        <v>225</v>
      </c>
      <c r="E96" s="24">
        <v>1</v>
      </c>
      <c r="F96" s="24" t="s">
        <v>283</v>
      </c>
      <c r="G96" s="31" t="s">
        <v>284</v>
      </c>
      <c r="H96" s="27" t="s">
        <v>563</v>
      </c>
      <c r="I96" s="27" t="s">
        <v>564</v>
      </c>
    </row>
    <row r="97" ht="28" customHeight="1" spans="1:9" x14ac:dyDescent="0.25">
      <c r="A97" s="80" t="s">
        <v>134</v>
      </c>
      <c r="B97" s="31" t="s">
        <v>135</v>
      </c>
      <c r="C97" s="76" t="s">
        <v>565</v>
      </c>
      <c r="D97" s="24" t="s">
        <v>229</v>
      </c>
      <c r="E97" s="24">
        <v>2</v>
      </c>
      <c r="F97" s="24" t="s">
        <v>355</v>
      </c>
      <c r="G97" s="31" t="s">
        <v>356</v>
      </c>
      <c r="H97" s="27" t="s">
        <v>566</v>
      </c>
      <c r="I97" s="27" t="s">
        <v>567</v>
      </c>
    </row>
    <row r="98" ht="28" customHeight="1" spans="1:9" x14ac:dyDescent="0.25">
      <c r="A98" s="80" t="s">
        <v>134</v>
      </c>
      <c r="B98" s="31" t="s">
        <v>135</v>
      </c>
      <c r="C98" s="76" t="s">
        <v>568</v>
      </c>
      <c r="D98" s="24" t="s">
        <v>234</v>
      </c>
      <c r="E98" s="24">
        <v>2</v>
      </c>
      <c r="F98" s="24" t="s">
        <v>355</v>
      </c>
      <c r="G98" s="31" t="s">
        <v>356</v>
      </c>
      <c r="H98" s="27" t="s">
        <v>569</v>
      </c>
      <c r="I98" s="27" t="s">
        <v>570</v>
      </c>
    </row>
    <row r="99" ht="28" customHeight="1" spans="1:9" x14ac:dyDescent="0.25">
      <c r="A99" s="80" t="s">
        <v>134</v>
      </c>
      <c r="B99" s="31" t="s">
        <v>135</v>
      </c>
      <c r="C99" s="76" t="s">
        <v>571</v>
      </c>
      <c r="D99" s="24" t="s">
        <v>416</v>
      </c>
      <c r="E99" s="24">
        <v>2</v>
      </c>
      <c r="F99" s="24" t="s">
        <v>355</v>
      </c>
      <c r="G99" s="31" t="s">
        <v>356</v>
      </c>
      <c r="H99" s="27" t="s">
        <v>572</v>
      </c>
      <c r="I99" s="27" t="s">
        <v>573</v>
      </c>
    </row>
    <row r="100" ht="28" customHeight="1" spans="1:9" x14ac:dyDescent="0.25">
      <c r="A100" s="80" t="s">
        <v>134</v>
      </c>
      <c r="B100" s="31" t="s">
        <v>135</v>
      </c>
      <c r="C100" s="76" t="s">
        <v>574</v>
      </c>
      <c r="D100" s="24" t="s">
        <v>238</v>
      </c>
      <c r="E100" s="24">
        <v>3</v>
      </c>
      <c r="F100" s="24" t="s">
        <v>575</v>
      </c>
      <c r="G100" s="31" t="s">
        <v>576</v>
      </c>
      <c r="H100" s="27" t="s">
        <v>577</v>
      </c>
      <c r="I100" s="27" t="s">
        <v>578</v>
      </c>
    </row>
    <row r="101" ht="28" customHeight="1" spans="1:9" x14ac:dyDescent="0.25">
      <c r="A101" s="80" t="s">
        <v>134</v>
      </c>
      <c r="B101" s="31" t="s">
        <v>135</v>
      </c>
      <c r="C101" s="76" t="s">
        <v>579</v>
      </c>
      <c r="D101" s="24" t="s">
        <v>242</v>
      </c>
      <c r="E101" s="24">
        <v>3</v>
      </c>
      <c r="F101" s="24" t="s">
        <v>575</v>
      </c>
      <c r="G101" s="31" t="s">
        <v>576</v>
      </c>
      <c r="H101" s="27" t="s">
        <v>580</v>
      </c>
      <c r="I101" s="27" t="s">
        <v>581</v>
      </c>
    </row>
    <row r="102" ht="28" customHeight="1" spans="1:9" x14ac:dyDescent="0.25">
      <c r="A102" s="80" t="s">
        <v>134</v>
      </c>
      <c r="B102" s="31" t="s">
        <v>135</v>
      </c>
      <c r="C102" s="76" t="s">
        <v>582</v>
      </c>
      <c r="D102" s="24" t="s">
        <v>246</v>
      </c>
      <c r="E102" s="24">
        <v>3</v>
      </c>
      <c r="F102" s="24" t="s">
        <v>575</v>
      </c>
      <c r="G102" s="31" t="s">
        <v>576</v>
      </c>
      <c r="H102" s="27" t="s">
        <v>583</v>
      </c>
      <c r="I102" s="27" t="s">
        <v>584</v>
      </c>
    </row>
    <row r="103" ht="28" customHeight="1" spans="1:9" x14ac:dyDescent="0.25">
      <c r="A103" s="80" t="s">
        <v>134</v>
      </c>
      <c r="B103" s="31" t="s">
        <v>135</v>
      </c>
      <c r="C103" s="76" t="s">
        <v>585</v>
      </c>
      <c r="D103" s="24" t="s">
        <v>482</v>
      </c>
      <c r="E103" s="24">
        <v>3</v>
      </c>
      <c r="F103" s="24" t="s">
        <v>575</v>
      </c>
      <c r="G103" s="31" t="s">
        <v>576</v>
      </c>
      <c r="H103" s="27" t="s">
        <v>586</v>
      </c>
      <c r="I103" s="27" t="s">
        <v>587</v>
      </c>
    </row>
    <row r="104" ht="28" customHeight="1" spans="1:9" x14ac:dyDescent="0.25">
      <c r="A104" s="80" t="s">
        <v>134</v>
      </c>
      <c r="B104" s="31" t="s">
        <v>135</v>
      </c>
      <c r="C104" s="76" t="s">
        <v>588</v>
      </c>
      <c r="D104" s="24" t="s">
        <v>486</v>
      </c>
      <c r="E104" s="24">
        <v>3</v>
      </c>
      <c r="F104" s="24" t="s">
        <v>575</v>
      </c>
      <c r="G104" s="31" t="s">
        <v>576</v>
      </c>
      <c r="H104" s="27" t="s">
        <v>589</v>
      </c>
      <c r="I104" s="27" t="s">
        <v>590</v>
      </c>
    </row>
    <row r="105" ht="28" customHeight="1" spans="1:9" x14ac:dyDescent="0.25">
      <c r="A105" s="80" t="s">
        <v>134</v>
      </c>
      <c r="B105" s="31" t="s">
        <v>135</v>
      </c>
      <c r="C105" s="76" t="s">
        <v>591</v>
      </c>
      <c r="D105" s="24" t="s">
        <v>250</v>
      </c>
      <c r="E105" s="24">
        <v>4</v>
      </c>
      <c r="F105" s="24" t="s">
        <v>251</v>
      </c>
      <c r="G105" s="31" t="s">
        <v>252</v>
      </c>
      <c r="H105" s="27" t="s">
        <v>592</v>
      </c>
      <c r="I105" s="27" t="s">
        <v>593</v>
      </c>
    </row>
    <row r="106" ht="28" customHeight="1" spans="1:9" x14ac:dyDescent="0.25">
      <c r="A106" s="80" t="s">
        <v>134</v>
      </c>
      <c r="B106" s="31" t="s">
        <v>135</v>
      </c>
      <c r="C106" s="76" t="s">
        <v>594</v>
      </c>
      <c r="D106" s="24" t="s">
        <v>256</v>
      </c>
      <c r="E106" s="24">
        <v>4</v>
      </c>
      <c r="F106" s="24" t="s">
        <v>251</v>
      </c>
      <c r="G106" s="31" t="s">
        <v>252</v>
      </c>
      <c r="H106" s="27" t="s">
        <v>595</v>
      </c>
      <c r="I106" s="27" t="s">
        <v>596</v>
      </c>
    </row>
    <row r="107" ht="28" customHeight="1" spans="1:9" x14ac:dyDescent="0.25">
      <c r="A107" s="80" t="s">
        <v>134</v>
      </c>
      <c r="B107" s="31" t="s">
        <v>135</v>
      </c>
      <c r="C107" s="76" t="s">
        <v>597</v>
      </c>
      <c r="D107" s="24" t="s">
        <v>260</v>
      </c>
      <c r="E107" s="24">
        <v>5</v>
      </c>
      <c r="F107" s="24" t="s">
        <v>598</v>
      </c>
      <c r="G107" s="31" t="s">
        <v>599</v>
      </c>
      <c r="H107" s="27" t="s">
        <v>600</v>
      </c>
      <c r="I107" s="27" t="s">
        <v>601</v>
      </c>
    </row>
    <row r="108" ht="28" customHeight="1" spans="1:9" x14ac:dyDescent="0.25">
      <c r="A108" s="80" t="s">
        <v>134</v>
      </c>
      <c r="B108" s="31" t="s">
        <v>135</v>
      </c>
      <c r="C108" s="76" t="s">
        <v>602</v>
      </c>
      <c r="D108" s="24" t="s">
        <v>266</v>
      </c>
      <c r="E108" s="24">
        <v>5</v>
      </c>
      <c r="F108" s="24" t="s">
        <v>598</v>
      </c>
      <c r="G108" s="31" t="s">
        <v>599</v>
      </c>
      <c r="H108" s="27" t="s">
        <v>603</v>
      </c>
      <c r="I108" s="27" t="s">
        <v>604</v>
      </c>
    </row>
    <row r="109" ht="28" customHeight="1" spans="1:9" x14ac:dyDescent="0.25">
      <c r="A109" s="80" t="s">
        <v>134</v>
      </c>
      <c r="B109" s="31" t="s">
        <v>135</v>
      </c>
      <c r="C109" s="76" t="s">
        <v>605</v>
      </c>
      <c r="D109" s="24" t="s">
        <v>439</v>
      </c>
      <c r="E109" s="24">
        <v>5</v>
      </c>
      <c r="F109" s="24" t="s">
        <v>598</v>
      </c>
      <c r="G109" s="31" t="s">
        <v>599</v>
      </c>
      <c r="H109" s="27" t="s">
        <v>606</v>
      </c>
      <c r="I109" s="27" t="s">
        <v>607</v>
      </c>
    </row>
    <row r="110" ht="28" customHeight="1" spans="1:9" x14ac:dyDescent="0.25">
      <c r="A110" s="80" t="s">
        <v>134</v>
      </c>
      <c r="B110" s="31" t="s">
        <v>135</v>
      </c>
      <c r="C110" s="76" t="s">
        <v>608</v>
      </c>
      <c r="D110" s="24" t="s">
        <v>270</v>
      </c>
      <c r="E110" s="24">
        <v>6</v>
      </c>
      <c r="F110" s="24" t="s">
        <v>490</v>
      </c>
      <c r="G110" s="31" t="s">
        <v>491</v>
      </c>
      <c r="H110" s="27" t="s">
        <v>609</v>
      </c>
      <c r="I110" s="27" t="s">
        <v>610</v>
      </c>
    </row>
    <row r="111" ht="28" customHeight="1" spans="1:9" x14ac:dyDescent="0.25">
      <c r="A111" s="80" t="s">
        <v>134</v>
      </c>
      <c r="B111" s="31" t="s">
        <v>135</v>
      </c>
      <c r="C111" s="76" t="s">
        <v>611</v>
      </c>
      <c r="D111" s="24" t="s">
        <v>274</v>
      </c>
      <c r="E111" s="24">
        <v>6</v>
      </c>
      <c r="F111" s="24" t="s">
        <v>490</v>
      </c>
      <c r="G111" s="31" t="s">
        <v>491</v>
      </c>
      <c r="H111" s="27" t="s">
        <v>612</v>
      </c>
      <c r="I111" s="27" t="s">
        <v>613</v>
      </c>
    </row>
    <row r="112" ht="28" customHeight="1" spans="1:9" x14ac:dyDescent="0.25">
      <c r="A112" s="80" t="s">
        <v>134</v>
      </c>
      <c r="B112" s="31" t="s">
        <v>135</v>
      </c>
      <c r="C112" s="76" t="s">
        <v>614</v>
      </c>
      <c r="D112" s="24" t="s">
        <v>278</v>
      </c>
      <c r="E112" s="24">
        <v>6</v>
      </c>
      <c r="F112" s="24" t="s">
        <v>490</v>
      </c>
      <c r="G112" s="31" t="s">
        <v>491</v>
      </c>
      <c r="H112" s="27" t="s">
        <v>615</v>
      </c>
      <c r="I112" s="27" t="s">
        <v>616</v>
      </c>
    </row>
    <row r="113" ht="28" customHeight="1" spans="1:9" x14ac:dyDescent="0.25">
      <c r="A113" s="81" t="s">
        <v>138</v>
      </c>
      <c r="B113" s="31" t="s">
        <v>139</v>
      </c>
      <c r="C113" s="76" t="s">
        <v>617</v>
      </c>
      <c r="D113" s="24" t="s">
        <v>216</v>
      </c>
      <c r="E113" s="24">
        <v>1</v>
      </c>
      <c r="F113" s="24" t="s">
        <v>618</v>
      </c>
      <c r="G113" s="31" t="s">
        <v>619</v>
      </c>
      <c r="H113" s="27" t="s">
        <v>620</v>
      </c>
      <c r="I113" s="27" t="s">
        <v>621</v>
      </c>
    </row>
    <row r="114" ht="28" customHeight="1" spans="1:9" x14ac:dyDescent="0.25">
      <c r="A114" s="81" t="s">
        <v>138</v>
      </c>
      <c r="B114" s="31" t="s">
        <v>139</v>
      </c>
      <c r="C114" s="76" t="s">
        <v>622</v>
      </c>
      <c r="D114" s="24" t="s">
        <v>222</v>
      </c>
      <c r="E114" s="24">
        <v>1</v>
      </c>
      <c r="F114" s="24" t="s">
        <v>618</v>
      </c>
      <c r="G114" s="31" t="s">
        <v>619</v>
      </c>
      <c r="H114" s="27" t="s">
        <v>623</v>
      </c>
      <c r="I114" s="27" t="s">
        <v>624</v>
      </c>
    </row>
    <row r="115" ht="28" customHeight="1" spans="1:9" x14ac:dyDescent="0.25">
      <c r="A115" s="81" t="s">
        <v>138</v>
      </c>
      <c r="B115" s="31" t="s">
        <v>139</v>
      </c>
      <c r="C115" s="76" t="s">
        <v>625</v>
      </c>
      <c r="D115" s="24" t="s">
        <v>225</v>
      </c>
      <c r="E115" s="24">
        <v>1</v>
      </c>
      <c r="F115" s="24" t="s">
        <v>618</v>
      </c>
      <c r="G115" s="31" t="s">
        <v>619</v>
      </c>
      <c r="H115" s="27" t="s">
        <v>626</v>
      </c>
      <c r="I115" s="27" t="s">
        <v>627</v>
      </c>
    </row>
    <row r="116" ht="28" customHeight="1" spans="1:9" x14ac:dyDescent="0.25">
      <c r="A116" s="81" t="s">
        <v>138</v>
      </c>
      <c r="B116" s="31" t="s">
        <v>139</v>
      </c>
      <c r="C116" s="76" t="s">
        <v>628</v>
      </c>
      <c r="D116" s="24" t="s">
        <v>629</v>
      </c>
      <c r="E116" s="24">
        <v>1</v>
      </c>
      <c r="F116" s="24" t="s">
        <v>618</v>
      </c>
      <c r="G116" s="31" t="s">
        <v>619</v>
      </c>
      <c r="H116" s="27" t="s">
        <v>630</v>
      </c>
      <c r="I116" s="27" t="s">
        <v>631</v>
      </c>
    </row>
    <row r="117" ht="28" customHeight="1" spans="1:9" x14ac:dyDescent="0.25">
      <c r="A117" s="81" t="s">
        <v>138</v>
      </c>
      <c r="B117" s="31" t="s">
        <v>139</v>
      </c>
      <c r="C117" s="76" t="s">
        <v>632</v>
      </c>
      <c r="D117" s="24" t="s">
        <v>633</v>
      </c>
      <c r="E117" s="24">
        <v>1</v>
      </c>
      <c r="F117" s="24" t="s">
        <v>618</v>
      </c>
      <c r="G117" s="31" t="s">
        <v>619</v>
      </c>
      <c r="H117" s="27" t="s">
        <v>634</v>
      </c>
      <c r="I117" s="27" t="s">
        <v>635</v>
      </c>
    </row>
    <row r="118" ht="28" customHeight="1" spans="1:9" x14ac:dyDescent="0.25">
      <c r="A118" s="81" t="s">
        <v>138</v>
      </c>
      <c r="B118" s="31" t="s">
        <v>139</v>
      </c>
      <c r="C118" s="76" t="s">
        <v>636</v>
      </c>
      <c r="D118" s="24" t="s">
        <v>637</v>
      </c>
      <c r="E118" s="24">
        <v>1</v>
      </c>
      <c r="F118" s="24" t="s">
        <v>618</v>
      </c>
      <c r="G118" s="31" t="s">
        <v>619</v>
      </c>
      <c r="H118" s="27" t="s">
        <v>638</v>
      </c>
      <c r="I118" s="27" t="s">
        <v>639</v>
      </c>
    </row>
    <row r="119" ht="28" customHeight="1" spans="1:9" x14ac:dyDescent="0.25">
      <c r="A119" s="81" t="s">
        <v>138</v>
      </c>
      <c r="B119" s="31" t="s">
        <v>139</v>
      </c>
      <c r="C119" s="76" t="s">
        <v>640</v>
      </c>
      <c r="D119" s="24" t="s">
        <v>229</v>
      </c>
      <c r="E119" s="24">
        <v>2</v>
      </c>
      <c r="F119" s="24" t="s">
        <v>641</v>
      </c>
      <c r="G119" s="31" t="s">
        <v>642</v>
      </c>
      <c r="H119" s="27" t="s">
        <v>643</v>
      </c>
      <c r="I119" s="27" t="s">
        <v>644</v>
      </c>
    </row>
    <row r="120" ht="28" customHeight="1" spans="1:9" x14ac:dyDescent="0.25">
      <c r="A120" s="81" t="s">
        <v>138</v>
      </c>
      <c r="B120" s="31" t="s">
        <v>139</v>
      </c>
      <c r="C120" s="76" t="s">
        <v>645</v>
      </c>
      <c r="D120" s="24" t="s">
        <v>234</v>
      </c>
      <c r="E120" s="24">
        <v>2</v>
      </c>
      <c r="F120" s="24" t="s">
        <v>641</v>
      </c>
      <c r="G120" s="31" t="s">
        <v>642</v>
      </c>
      <c r="H120" s="27" t="s">
        <v>646</v>
      </c>
      <c r="I120" s="27" t="s">
        <v>647</v>
      </c>
    </row>
    <row r="121" ht="28" customHeight="1" spans="1:9" x14ac:dyDescent="0.25">
      <c r="A121" s="81" t="s">
        <v>138</v>
      </c>
      <c r="B121" s="31" t="s">
        <v>139</v>
      </c>
      <c r="C121" s="76" t="s">
        <v>648</v>
      </c>
      <c r="D121" s="24" t="s">
        <v>416</v>
      </c>
      <c r="E121" s="24">
        <v>2</v>
      </c>
      <c r="F121" s="24" t="s">
        <v>641</v>
      </c>
      <c r="G121" s="31" t="s">
        <v>642</v>
      </c>
      <c r="H121" s="27" t="s">
        <v>649</v>
      </c>
      <c r="I121" s="27" t="s">
        <v>650</v>
      </c>
    </row>
    <row r="122" ht="28" customHeight="1" spans="1:9" x14ac:dyDescent="0.25">
      <c r="A122" s="81" t="s">
        <v>138</v>
      </c>
      <c r="B122" s="31" t="s">
        <v>139</v>
      </c>
      <c r="C122" s="76" t="s">
        <v>651</v>
      </c>
      <c r="D122" s="24" t="s">
        <v>238</v>
      </c>
      <c r="E122" s="24">
        <v>3</v>
      </c>
      <c r="F122" s="24" t="s">
        <v>313</v>
      </c>
      <c r="G122" s="31" t="s">
        <v>314</v>
      </c>
      <c r="H122" s="27" t="s">
        <v>652</v>
      </c>
      <c r="I122" s="27" t="s">
        <v>653</v>
      </c>
    </row>
    <row r="123" ht="28" customHeight="1" spans="1:9" x14ac:dyDescent="0.25">
      <c r="A123" s="81" t="s">
        <v>138</v>
      </c>
      <c r="B123" s="31" t="s">
        <v>139</v>
      </c>
      <c r="C123" s="76" t="s">
        <v>654</v>
      </c>
      <c r="D123" s="24" t="s">
        <v>242</v>
      </c>
      <c r="E123" s="24">
        <v>3</v>
      </c>
      <c r="F123" s="24" t="s">
        <v>313</v>
      </c>
      <c r="G123" s="31" t="s">
        <v>314</v>
      </c>
      <c r="H123" s="27" t="s">
        <v>655</v>
      </c>
      <c r="I123" s="27" t="s">
        <v>656</v>
      </c>
    </row>
    <row r="124" ht="28" customHeight="1" spans="1:9" x14ac:dyDescent="0.25">
      <c r="A124" s="81" t="s">
        <v>138</v>
      </c>
      <c r="B124" s="31" t="s">
        <v>139</v>
      </c>
      <c r="C124" s="76" t="s">
        <v>657</v>
      </c>
      <c r="D124" s="24" t="s">
        <v>246</v>
      </c>
      <c r="E124" s="24">
        <v>3</v>
      </c>
      <c r="F124" s="24" t="s">
        <v>313</v>
      </c>
      <c r="G124" s="31" t="s">
        <v>314</v>
      </c>
      <c r="H124" s="27" t="s">
        <v>658</v>
      </c>
      <c r="I124" s="27" t="s">
        <v>659</v>
      </c>
    </row>
    <row r="125" ht="28" customHeight="1" spans="1:9" x14ac:dyDescent="0.25">
      <c r="A125" s="81" t="s">
        <v>138</v>
      </c>
      <c r="B125" s="31" t="s">
        <v>139</v>
      </c>
      <c r="C125" s="76" t="s">
        <v>660</v>
      </c>
      <c r="D125" s="24" t="s">
        <v>250</v>
      </c>
      <c r="E125" s="24">
        <v>4</v>
      </c>
      <c r="F125" s="24" t="s">
        <v>641</v>
      </c>
      <c r="G125" s="31" t="s">
        <v>642</v>
      </c>
      <c r="H125" s="27" t="s">
        <v>661</v>
      </c>
      <c r="I125" s="27" t="s">
        <v>662</v>
      </c>
    </row>
    <row r="126" ht="28" customHeight="1" spans="1:9" x14ac:dyDescent="0.25">
      <c r="A126" s="81" t="s">
        <v>138</v>
      </c>
      <c r="B126" s="31" t="s">
        <v>139</v>
      </c>
      <c r="C126" s="76" t="s">
        <v>663</v>
      </c>
      <c r="D126" s="24" t="s">
        <v>256</v>
      </c>
      <c r="E126" s="24">
        <v>4</v>
      </c>
      <c r="F126" s="24" t="s">
        <v>641</v>
      </c>
      <c r="G126" s="31" t="s">
        <v>642</v>
      </c>
      <c r="H126" s="27" t="s">
        <v>664</v>
      </c>
      <c r="I126" s="27" t="s">
        <v>665</v>
      </c>
    </row>
    <row r="127" ht="28" customHeight="1" spans="1:9" x14ac:dyDescent="0.25">
      <c r="A127" s="81" t="s">
        <v>138</v>
      </c>
      <c r="B127" s="31" t="s">
        <v>139</v>
      </c>
      <c r="C127" s="76" t="s">
        <v>666</v>
      </c>
      <c r="D127" s="24" t="s">
        <v>498</v>
      </c>
      <c r="E127" s="24">
        <v>4</v>
      </c>
      <c r="F127" s="24" t="s">
        <v>641</v>
      </c>
      <c r="G127" s="31" t="s">
        <v>642</v>
      </c>
      <c r="H127" s="27" t="s">
        <v>667</v>
      </c>
      <c r="I127" s="27" t="s">
        <v>668</v>
      </c>
    </row>
    <row r="128" ht="28" customHeight="1" spans="1:9" x14ac:dyDescent="0.25">
      <c r="A128" s="81" t="s">
        <v>138</v>
      </c>
      <c r="B128" s="31" t="s">
        <v>139</v>
      </c>
      <c r="C128" s="76" t="s">
        <v>669</v>
      </c>
      <c r="D128" s="24" t="s">
        <v>260</v>
      </c>
      <c r="E128" s="24">
        <v>5</v>
      </c>
      <c r="F128" s="24" t="s">
        <v>598</v>
      </c>
      <c r="G128" s="31" t="s">
        <v>599</v>
      </c>
      <c r="H128" s="27" t="s">
        <v>670</v>
      </c>
      <c r="I128" s="27" t="s">
        <v>671</v>
      </c>
    </row>
    <row r="129" ht="28" customHeight="1" spans="1:9" x14ac:dyDescent="0.25">
      <c r="A129" s="81" t="s">
        <v>138</v>
      </c>
      <c r="B129" s="31" t="s">
        <v>139</v>
      </c>
      <c r="C129" s="76" t="s">
        <v>672</v>
      </c>
      <c r="D129" s="24" t="s">
        <v>266</v>
      </c>
      <c r="E129" s="24">
        <v>5</v>
      </c>
      <c r="F129" s="24" t="s">
        <v>598</v>
      </c>
      <c r="G129" s="31" t="s">
        <v>599</v>
      </c>
      <c r="H129" s="27" t="s">
        <v>673</v>
      </c>
      <c r="I129" s="27" t="s">
        <v>674</v>
      </c>
    </row>
    <row r="130" ht="28" customHeight="1" spans="1:9" x14ac:dyDescent="0.25">
      <c r="A130" s="82" t="s">
        <v>142</v>
      </c>
      <c r="B130" s="31" t="s">
        <v>143</v>
      </c>
      <c r="C130" s="76" t="s">
        <v>675</v>
      </c>
      <c r="D130" s="24" t="s">
        <v>216</v>
      </c>
      <c r="E130" s="24">
        <v>1</v>
      </c>
      <c r="F130" s="24" t="s">
        <v>676</v>
      </c>
      <c r="G130" s="31" t="s">
        <v>677</v>
      </c>
      <c r="H130" s="27" t="s">
        <v>678</v>
      </c>
      <c r="I130" s="27" t="s">
        <v>679</v>
      </c>
    </row>
    <row r="131" ht="28" customHeight="1" spans="1:9" x14ac:dyDescent="0.25">
      <c r="A131" s="82" t="s">
        <v>142</v>
      </c>
      <c r="B131" s="31" t="s">
        <v>143</v>
      </c>
      <c r="C131" s="76" t="s">
        <v>680</v>
      </c>
      <c r="D131" s="24" t="s">
        <v>222</v>
      </c>
      <c r="E131" s="24">
        <v>1</v>
      </c>
      <c r="F131" s="24" t="s">
        <v>676</v>
      </c>
      <c r="G131" s="31" t="s">
        <v>677</v>
      </c>
      <c r="H131" s="27" t="s">
        <v>681</v>
      </c>
      <c r="I131" s="27" t="s">
        <v>682</v>
      </c>
    </row>
    <row r="132" ht="28" customHeight="1" spans="1:9" x14ac:dyDescent="0.25">
      <c r="A132" s="82" t="s">
        <v>142</v>
      </c>
      <c r="B132" s="31" t="s">
        <v>143</v>
      </c>
      <c r="C132" s="76" t="s">
        <v>683</v>
      </c>
      <c r="D132" s="24" t="s">
        <v>225</v>
      </c>
      <c r="E132" s="24">
        <v>1</v>
      </c>
      <c r="F132" s="24" t="s">
        <v>676</v>
      </c>
      <c r="G132" s="31" t="s">
        <v>677</v>
      </c>
      <c r="H132" s="27" t="s">
        <v>684</v>
      </c>
      <c r="I132" s="27" t="s">
        <v>679</v>
      </c>
    </row>
    <row r="133" ht="28" customHeight="1" spans="1:9" x14ac:dyDescent="0.25">
      <c r="A133" s="82" t="s">
        <v>142</v>
      </c>
      <c r="B133" s="31" t="s">
        <v>143</v>
      </c>
      <c r="C133" s="76" t="s">
        <v>685</v>
      </c>
      <c r="D133" s="24" t="s">
        <v>229</v>
      </c>
      <c r="E133" s="24">
        <v>2</v>
      </c>
      <c r="F133" s="24" t="s">
        <v>293</v>
      </c>
      <c r="G133" s="31" t="s">
        <v>294</v>
      </c>
      <c r="H133" s="27" t="s">
        <v>686</v>
      </c>
      <c r="I133" s="27" t="s">
        <v>518</v>
      </c>
    </row>
    <row r="134" ht="28" customHeight="1" spans="1:9" x14ac:dyDescent="0.25">
      <c r="A134" s="82" t="s">
        <v>142</v>
      </c>
      <c r="B134" s="31" t="s">
        <v>143</v>
      </c>
      <c r="C134" s="76" t="s">
        <v>687</v>
      </c>
      <c r="D134" s="24" t="s">
        <v>234</v>
      </c>
      <c r="E134" s="24">
        <v>2</v>
      </c>
      <c r="F134" s="24" t="s">
        <v>293</v>
      </c>
      <c r="G134" s="31" t="s">
        <v>294</v>
      </c>
      <c r="H134" s="27" t="s">
        <v>688</v>
      </c>
      <c r="I134" s="27" t="s">
        <v>689</v>
      </c>
    </row>
    <row r="135" ht="28" customHeight="1" spans="1:9" x14ac:dyDescent="0.25">
      <c r="A135" s="82" t="s">
        <v>142</v>
      </c>
      <c r="B135" s="31" t="s">
        <v>143</v>
      </c>
      <c r="C135" s="76" t="s">
        <v>690</v>
      </c>
      <c r="D135" s="24" t="s">
        <v>416</v>
      </c>
      <c r="E135" s="24">
        <v>2</v>
      </c>
      <c r="F135" s="24" t="s">
        <v>293</v>
      </c>
      <c r="G135" s="31" t="s">
        <v>294</v>
      </c>
      <c r="H135" s="27" t="s">
        <v>691</v>
      </c>
      <c r="I135" s="27" t="s">
        <v>692</v>
      </c>
    </row>
    <row r="136" ht="28" customHeight="1" spans="1:9" x14ac:dyDescent="0.25">
      <c r="A136" s="82" t="s">
        <v>142</v>
      </c>
      <c r="B136" s="31" t="s">
        <v>143</v>
      </c>
      <c r="C136" s="76" t="s">
        <v>693</v>
      </c>
      <c r="D136" s="24" t="s">
        <v>238</v>
      </c>
      <c r="E136" s="24">
        <v>3</v>
      </c>
      <c r="F136" s="24" t="s">
        <v>694</v>
      </c>
      <c r="G136" s="31" t="s">
        <v>695</v>
      </c>
      <c r="H136" s="27" t="s">
        <v>696</v>
      </c>
      <c r="I136" s="27" t="s">
        <v>697</v>
      </c>
    </row>
    <row r="137" ht="28" customHeight="1" spans="1:9" x14ac:dyDescent="0.25">
      <c r="A137" s="82" t="s">
        <v>142</v>
      </c>
      <c r="B137" s="31" t="s">
        <v>143</v>
      </c>
      <c r="C137" s="76" t="s">
        <v>698</v>
      </c>
      <c r="D137" s="24" t="s">
        <v>242</v>
      </c>
      <c r="E137" s="24">
        <v>3</v>
      </c>
      <c r="F137" s="24" t="s">
        <v>694</v>
      </c>
      <c r="G137" s="31" t="s">
        <v>695</v>
      </c>
      <c r="H137" s="27" t="s">
        <v>699</v>
      </c>
      <c r="I137" s="27" t="s">
        <v>700</v>
      </c>
    </row>
    <row r="138" ht="28" customHeight="1" spans="1:9" x14ac:dyDescent="0.25">
      <c r="A138" s="82" t="s">
        <v>142</v>
      </c>
      <c r="B138" s="31" t="s">
        <v>143</v>
      </c>
      <c r="C138" s="76" t="s">
        <v>701</v>
      </c>
      <c r="D138" s="24" t="s">
        <v>246</v>
      </c>
      <c r="E138" s="24">
        <v>3</v>
      </c>
      <c r="F138" s="24" t="s">
        <v>694</v>
      </c>
      <c r="G138" s="31" t="s">
        <v>695</v>
      </c>
      <c r="H138" s="27" t="s">
        <v>702</v>
      </c>
      <c r="I138" s="27" t="s">
        <v>703</v>
      </c>
    </row>
    <row r="139" ht="28" customHeight="1" spans="1:9" x14ac:dyDescent="0.25">
      <c r="A139" s="82" t="s">
        <v>142</v>
      </c>
      <c r="B139" s="31" t="s">
        <v>143</v>
      </c>
      <c r="C139" s="76" t="s">
        <v>704</v>
      </c>
      <c r="D139" s="24" t="s">
        <v>250</v>
      </c>
      <c r="E139" s="24">
        <v>4</v>
      </c>
      <c r="F139" s="24" t="s">
        <v>694</v>
      </c>
      <c r="G139" s="31" t="s">
        <v>695</v>
      </c>
      <c r="H139" s="27" t="s">
        <v>705</v>
      </c>
      <c r="I139" s="27" t="s">
        <v>706</v>
      </c>
    </row>
    <row r="140" ht="28" customHeight="1" spans="1:9" x14ac:dyDescent="0.25">
      <c r="A140" s="82" t="s">
        <v>142</v>
      </c>
      <c r="B140" s="31" t="s">
        <v>143</v>
      </c>
      <c r="C140" s="76" t="s">
        <v>707</v>
      </c>
      <c r="D140" s="24" t="s">
        <v>256</v>
      </c>
      <c r="E140" s="24">
        <v>4</v>
      </c>
      <c r="F140" s="24" t="s">
        <v>694</v>
      </c>
      <c r="G140" s="31" t="s">
        <v>695</v>
      </c>
      <c r="H140" s="27" t="s">
        <v>708</v>
      </c>
      <c r="I140" s="27" t="s">
        <v>709</v>
      </c>
    </row>
    <row r="141" ht="28" customHeight="1" spans="1:9" x14ac:dyDescent="0.25">
      <c r="A141" s="82" t="s">
        <v>142</v>
      </c>
      <c r="B141" s="31" t="s">
        <v>143</v>
      </c>
      <c r="C141" s="76" t="s">
        <v>710</v>
      </c>
      <c r="D141" s="24" t="s">
        <v>260</v>
      </c>
      <c r="E141" s="24">
        <v>5</v>
      </c>
      <c r="F141" s="24" t="s">
        <v>711</v>
      </c>
      <c r="G141" s="31" t="s">
        <v>712</v>
      </c>
      <c r="H141" s="27" t="s">
        <v>713</v>
      </c>
      <c r="I141" s="27" t="s">
        <v>450</v>
      </c>
    </row>
    <row r="142" ht="28" customHeight="1" spans="1:9" x14ac:dyDescent="0.25">
      <c r="A142" s="82" t="s">
        <v>142</v>
      </c>
      <c r="B142" s="31" t="s">
        <v>143</v>
      </c>
      <c r="C142" s="76" t="s">
        <v>714</v>
      </c>
      <c r="D142" s="24" t="s">
        <v>266</v>
      </c>
      <c r="E142" s="24">
        <v>5</v>
      </c>
      <c r="F142" s="24" t="s">
        <v>711</v>
      </c>
      <c r="G142" s="31" t="s">
        <v>712</v>
      </c>
      <c r="H142" s="27" t="s">
        <v>715</v>
      </c>
      <c r="I142" s="27" t="s">
        <v>716</v>
      </c>
    </row>
    <row r="143" ht="28" customHeight="1" spans="1:9" x14ac:dyDescent="0.25">
      <c r="A143" s="82" t="s">
        <v>142</v>
      </c>
      <c r="B143" s="31" t="s">
        <v>143</v>
      </c>
      <c r="C143" s="76" t="s">
        <v>717</v>
      </c>
      <c r="D143" s="24" t="s">
        <v>439</v>
      </c>
      <c r="E143" s="24">
        <v>5</v>
      </c>
      <c r="F143" s="24" t="s">
        <v>711</v>
      </c>
      <c r="G143" s="31" t="s">
        <v>712</v>
      </c>
      <c r="H143" s="27" t="s">
        <v>718</v>
      </c>
      <c r="I143" s="27" t="s">
        <v>450</v>
      </c>
    </row>
    <row r="144" ht="28" customHeight="1" spans="1:9" x14ac:dyDescent="0.25">
      <c r="A144" s="82" t="s">
        <v>142</v>
      </c>
      <c r="B144" s="31" t="s">
        <v>143</v>
      </c>
      <c r="C144" s="76" t="s">
        <v>719</v>
      </c>
      <c r="D144" s="24" t="s">
        <v>270</v>
      </c>
      <c r="E144" s="24">
        <v>6</v>
      </c>
      <c r="F144" s="24" t="s">
        <v>676</v>
      </c>
      <c r="G144" s="31" t="s">
        <v>677</v>
      </c>
      <c r="H144" s="27" t="s">
        <v>720</v>
      </c>
      <c r="I144" s="27" t="s">
        <v>679</v>
      </c>
    </row>
    <row r="145" ht="28" customHeight="1" spans="1:9" x14ac:dyDescent="0.25">
      <c r="A145" s="82" t="s">
        <v>142</v>
      </c>
      <c r="B145" s="31" t="s">
        <v>143</v>
      </c>
      <c r="C145" s="76" t="s">
        <v>721</v>
      </c>
      <c r="D145" s="24" t="s">
        <v>274</v>
      </c>
      <c r="E145" s="24">
        <v>6</v>
      </c>
      <c r="F145" s="24" t="s">
        <v>676</v>
      </c>
      <c r="G145" s="31" t="s">
        <v>677</v>
      </c>
      <c r="H145" s="27" t="s">
        <v>722</v>
      </c>
      <c r="I145" s="27" t="s">
        <v>723</v>
      </c>
    </row>
    <row r="146" ht="28" customHeight="1" spans="1:9" x14ac:dyDescent="0.25">
      <c r="A146" s="82" t="s">
        <v>142</v>
      </c>
      <c r="B146" s="31" t="s">
        <v>143</v>
      </c>
      <c r="C146" s="76" t="s">
        <v>724</v>
      </c>
      <c r="D146" s="24" t="s">
        <v>278</v>
      </c>
      <c r="E146" s="24">
        <v>6</v>
      </c>
      <c r="F146" s="24" t="s">
        <v>676</v>
      </c>
      <c r="G146" s="31" t="s">
        <v>677</v>
      </c>
      <c r="H146" s="27" t="s">
        <v>725</v>
      </c>
      <c r="I146" s="27" t="s">
        <v>682</v>
      </c>
    </row>
    <row r="147" ht="28" customHeight="1" spans="1:9" x14ac:dyDescent="0.25">
      <c r="A147" s="82" t="s">
        <v>142</v>
      </c>
      <c r="B147" s="31" t="s">
        <v>143</v>
      </c>
      <c r="C147" s="76" t="s">
        <v>726</v>
      </c>
      <c r="D147" s="24" t="s">
        <v>282</v>
      </c>
      <c r="E147" s="24">
        <v>7</v>
      </c>
      <c r="F147" s="24" t="s">
        <v>711</v>
      </c>
      <c r="G147" s="31" t="s">
        <v>712</v>
      </c>
      <c r="H147" s="27" t="s">
        <v>727</v>
      </c>
      <c r="I147" s="27" t="s">
        <v>450</v>
      </c>
    </row>
    <row r="148" ht="28" customHeight="1" spans="1:9" x14ac:dyDescent="0.25">
      <c r="A148" s="82" t="s">
        <v>142</v>
      </c>
      <c r="B148" s="31" t="s">
        <v>143</v>
      </c>
      <c r="C148" s="76" t="s">
        <v>728</v>
      </c>
      <c r="D148" s="24" t="s">
        <v>288</v>
      </c>
      <c r="E148" s="24">
        <v>7</v>
      </c>
      <c r="F148" s="24" t="s">
        <v>711</v>
      </c>
      <c r="G148" s="31" t="s">
        <v>712</v>
      </c>
      <c r="H148" s="27" t="s">
        <v>729</v>
      </c>
      <c r="I148" s="27" t="s">
        <v>518</v>
      </c>
    </row>
    <row r="149" ht="28" customHeight="1" spans="1:9" x14ac:dyDescent="0.25">
      <c r="A149" s="82" t="s">
        <v>142</v>
      </c>
      <c r="B149" s="31" t="s">
        <v>143</v>
      </c>
      <c r="C149" s="76" t="s">
        <v>730</v>
      </c>
      <c r="D149" s="24" t="s">
        <v>292</v>
      </c>
      <c r="E149" s="24">
        <v>8</v>
      </c>
      <c r="F149" s="24" t="s">
        <v>731</v>
      </c>
      <c r="G149" s="31" t="s">
        <v>732</v>
      </c>
      <c r="H149" s="27" t="s">
        <v>733</v>
      </c>
      <c r="I149" s="27" t="s">
        <v>734</v>
      </c>
    </row>
    <row r="150" ht="28" customHeight="1" spans="1:9" x14ac:dyDescent="0.25">
      <c r="A150" s="82" t="s">
        <v>142</v>
      </c>
      <c r="B150" s="31" t="s">
        <v>143</v>
      </c>
      <c r="C150" s="76" t="s">
        <v>735</v>
      </c>
      <c r="D150" s="24" t="s">
        <v>298</v>
      </c>
      <c r="E150" s="24">
        <v>8</v>
      </c>
      <c r="F150" s="24" t="s">
        <v>731</v>
      </c>
      <c r="G150" s="31" t="s">
        <v>732</v>
      </c>
      <c r="H150" s="27" t="s">
        <v>736</v>
      </c>
      <c r="I150" s="27" t="s">
        <v>737</v>
      </c>
    </row>
    <row r="151" ht="28" customHeight="1" spans="1:9" x14ac:dyDescent="0.25">
      <c r="A151" s="82" t="s">
        <v>142</v>
      </c>
      <c r="B151" s="31" t="s">
        <v>143</v>
      </c>
      <c r="C151" s="76" t="s">
        <v>738</v>
      </c>
      <c r="D151" s="24" t="s">
        <v>379</v>
      </c>
      <c r="E151" s="24">
        <v>8</v>
      </c>
      <c r="F151" s="24" t="s">
        <v>731</v>
      </c>
      <c r="G151" s="31" t="s">
        <v>732</v>
      </c>
      <c r="H151" s="27" t="s">
        <v>739</v>
      </c>
      <c r="I151" s="27" t="s">
        <v>740</v>
      </c>
    </row>
    <row r="152" ht="28" customHeight="1" spans="1:9" x14ac:dyDescent="0.25">
      <c r="A152" s="83" t="s">
        <v>146</v>
      </c>
      <c r="B152" s="31" t="s">
        <v>147</v>
      </c>
      <c r="C152" s="76" t="s">
        <v>741</v>
      </c>
      <c r="D152" s="24" t="s">
        <v>216</v>
      </c>
      <c r="E152" s="24">
        <v>1</v>
      </c>
      <c r="F152" s="24" t="s">
        <v>694</v>
      </c>
      <c r="G152" s="31" t="s">
        <v>695</v>
      </c>
      <c r="H152" s="27" t="s">
        <v>742</v>
      </c>
      <c r="I152" s="27" t="s">
        <v>743</v>
      </c>
    </row>
    <row r="153" ht="28" customHeight="1" spans="1:9" x14ac:dyDescent="0.25">
      <c r="A153" s="83" t="s">
        <v>146</v>
      </c>
      <c r="B153" s="31" t="s">
        <v>147</v>
      </c>
      <c r="C153" s="76" t="s">
        <v>744</v>
      </c>
      <c r="D153" s="24" t="s">
        <v>222</v>
      </c>
      <c r="E153" s="24">
        <v>1</v>
      </c>
      <c r="F153" s="24" t="s">
        <v>694</v>
      </c>
      <c r="G153" s="31" t="s">
        <v>695</v>
      </c>
      <c r="H153" s="27" t="s">
        <v>745</v>
      </c>
      <c r="I153" s="27" t="s">
        <v>746</v>
      </c>
    </row>
    <row r="154" ht="28" customHeight="1" spans="1:9" x14ac:dyDescent="0.25">
      <c r="A154" s="83" t="s">
        <v>146</v>
      </c>
      <c r="B154" s="31" t="s">
        <v>147</v>
      </c>
      <c r="C154" s="76" t="s">
        <v>747</v>
      </c>
      <c r="D154" s="24" t="s">
        <v>225</v>
      </c>
      <c r="E154" s="24">
        <v>1</v>
      </c>
      <c r="F154" s="24" t="s">
        <v>694</v>
      </c>
      <c r="G154" s="31" t="s">
        <v>695</v>
      </c>
      <c r="H154" s="27" t="s">
        <v>748</v>
      </c>
      <c r="I154" s="27" t="s">
        <v>749</v>
      </c>
    </row>
    <row r="155" ht="28" customHeight="1" spans="1:9" x14ac:dyDescent="0.25">
      <c r="A155" s="83" t="s">
        <v>146</v>
      </c>
      <c r="B155" s="31" t="s">
        <v>147</v>
      </c>
      <c r="C155" s="76" t="s">
        <v>750</v>
      </c>
      <c r="D155" s="24" t="s">
        <v>229</v>
      </c>
      <c r="E155" s="24">
        <v>2</v>
      </c>
      <c r="F155" s="24" t="s">
        <v>751</v>
      </c>
      <c r="G155" s="31" t="s">
        <v>752</v>
      </c>
      <c r="H155" s="27" t="s">
        <v>753</v>
      </c>
      <c r="I155" s="27" t="s">
        <v>754</v>
      </c>
    </row>
    <row r="156" ht="28" customHeight="1" spans="1:9" x14ac:dyDescent="0.25">
      <c r="A156" s="83" t="s">
        <v>146</v>
      </c>
      <c r="B156" s="31" t="s">
        <v>147</v>
      </c>
      <c r="C156" s="76" t="s">
        <v>755</v>
      </c>
      <c r="D156" s="24" t="s">
        <v>234</v>
      </c>
      <c r="E156" s="24">
        <v>2</v>
      </c>
      <c r="F156" s="24" t="s">
        <v>751</v>
      </c>
      <c r="G156" s="31" t="s">
        <v>752</v>
      </c>
      <c r="H156" s="27" t="s">
        <v>756</v>
      </c>
      <c r="I156" s="27" t="s">
        <v>757</v>
      </c>
    </row>
    <row r="157" ht="28" customHeight="1" spans="1:9" x14ac:dyDescent="0.25">
      <c r="A157" s="83" t="s">
        <v>146</v>
      </c>
      <c r="B157" s="31" t="s">
        <v>147</v>
      </c>
      <c r="C157" s="76" t="s">
        <v>758</v>
      </c>
      <c r="D157" s="24" t="s">
        <v>238</v>
      </c>
      <c r="E157" s="24">
        <v>3</v>
      </c>
      <c r="F157" s="24" t="s">
        <v>759</v>
      </c>
      <c r="G157" s="31" t="s">
        <v>760</v>
      </c>
      <c r="H157" s="27" t="s">
        <v>761</v>
      </c>
      <c r="I157" s="27" t="s">
        <v>437</v>
      </c>
    </row>
    <row r="158" ht="28" customHeight="1" spans="1:9" x14ac:dyDescent="0.25">
      <c r="A158" s="83" t="s">
        <v>146</v>
      </c>
      <c r="B158" s="31" t="s">
        <v>147</v>
      </c>
      <c r="C158" s="76" t="s">
        <v>762</v>
      </c>
      <c r="D158" s="24" t="s">
        <v>242</v>
      </c>
      <c r="E158" s="24">
        <v>3</v>
      </c>
      <c r="F158" s="24" t="s">
        <v>759</v>
      </c>
      <c r="G158" s="31" t="s">
        <v>760</v>
      </c>
      <c r="H158" s="27" t="s">
        <v>763</v>
      </c>
      <c r="I158" s="27" t="s">
        <v>764</v>
      </c>
    </row>
    <row r="159" ht="28" customHeight="1" spans="1:9" x14ac:dyDescent="0.25">
      <c r="A159" s="83" t="s">
        <v>146</v>
      </c>
      <c r="B159" s="31" t="s">
        <v>147</v>
      </c>
      <c r="C159" s="76" t="s">
        <v>765</v>
      </c>
      <c r="D159" s="24" t="s">
        <v>246</v>
      </c>
      <c r="E159" s="24">
        <v>3</v>
      </c>
      <c r="F159" s="24" t="s">
        <v>759</v>
      </c>
      <c r="G159" s="31" t="s">
        <v>760</v>
      </c>
      <c r="H159" s="27" t="s">
        <v>766</v>
      </c>
      <c r="I159" s="27" t="s">
        <v>767</v>
      </c>
    </row>
    <row r="160" ht="28" customHeight="1" spans="1:9" x14ac:dyDescent="0.25">
      <c r="A160" s="83" t="s">
        <v>146</v>
      </c>
      <c r="B160" s="31" t="s">
        <v>147</v>
      </c>
      <c r="C160" s="76" t="s">
        <v>768</v>
      </c>
      <c r="D160" s="24" t="s">
        <v>250</v>
      </c>
      <c r="E160" s="24">
        <v>4</v>
      </c>
      <c r="F160" s="24" t="s">
        <v>711</v>
      </c>
      <c r="G160" s="31" t="s">
        <v>712</v>
      </c>
      <c r="H160" s="27" t="s">
        <v>769</v>
      </c>
      <c r="I160" s="27" t="s">
        <v>770</v>
      </c>
    </row>
    <row r="161" ht="28" customHeight="1" spans="1:9" x14ac:dyDescent="0.25">
      <c r="A161" s="83" t="s">
        <v>146</v>
      </c>
      <c r="B161" s="31" t="s">
        <v>147</v>
      </c>
      <c r="C161" s="76" t="s">
        <v>771</v>
      </c>
      <c r="D161" s="24" t="s">
        <v>256</v>
      </c>
      <c r="E161" s="24">
        <v>4</v>
      </c>
      <c r="F161" s="24" t="s">
        <v>711</v>
      </c>
      <c r="G161" s="31" t="s">
        <v>712</v>
      </c>
      <c r="H161" s="27" t="s">
        <v>772</v>
      </c>
      <c r="I161" s="27" t="s">
        <v>773</v>
      </c>
    </row>
    <row r="162" ht="28" customHeight="1" spans="1:9" x14ac:dyDescent="0.25">
      <c r="A162" s="84" t="s">
        <v>150</v>
      </c>
      <c r="B162" s="31" t="s">
        <v>151</v>
      </c>
      <c r="C162" s="76" t="s">
        <v>774</v>
      </c>
      <c r="D162" s="24" t="s">
        <v>216</v>
      </c>
      <c r="E162" s="24">
        <v>1</v>
      </c>
      <c r="F162" s="24" t="s">
        <v>251</v>
      </c>
      <c r="G162" s="31" t="s">
        <v>252</v>
      </c>
      <c r="H162" s="27" t="s">
        <v>775</v>
      </c>
      <c r="I162" s="27" t="s">
        <v>776</v>
      </c>
    </row>
    <row r="163" ht="28" customHeight="1" spans="1:9" x14ac:dyDescent="0.25">
      <c r="A163" s="84" t="s">
        <v>150</v>
      </c>
      <c r="B163" s="31" t="s">
        <v>151</v>
      </c>
      <c r="C163" s="76" t="s">
        <v>777</v>
      </c>
      <c r="D163" s="24" t="s">
        <v>222</v>
      </c>
      <c r="E163" s="24">
        <v>1</v>
      </c>
      <c r="F163" s="24" t="s">
        <v>251</v>
      </c>
      <c r="G163" s="31" t="s">
        <v>252</v>
      </c>
      <c r="H163" s="27" t="s">
        <v>778</v>
      </c>
      <c r="I163" s="27" t="s">
        <v>518</v>
      </c>
    </row>
    <row r="164" ht="28" customHeight="1" spans="1:9" x14ac:dyDescent="0.25">
      <c r="A164" s="84" t="s">
        <v>150</v>
      </c>
      <c r="B164" s="31" t="s">
        <v>151</v>
      </c>
      <c r="C164" s="76" t="s">
        <v>779</v>
      </c>
      <c r="D164" s="24" t="s">
        <v>225</v>
      </c>
      <c r="E164" s="24">
        <v>1</v>
      </c>
      <c r="F164" s="24" t="s">
        <v>251</v>
      </c>
      <c r="G164" s="31" t="s">
        <v>252</v>
      </c>
      <c r="H164" s="27" t="s">
        <v>780</v>
      </c>
      <c r="I164" s="27" t="s">
        <v>781</v>
      </c>
    </row>
    <row r="165" ht="28" customHeight="1" spans="1:9" x14ac:dyDescent="0.25">
      <c r="A165" s="84" t="s">
        <v>150</v>
      </c>
      <c r="B165" s="31" t="s">
        <v>151</v>
      </c>
      <c r="C165" s="76" t="s">
        <v>782</v>
      </c>
      <c r="D165" s="24" t="s">
        <v>629</v>
      </c>
      <c r="E165" s="24">
        <v>1</v>
      </c>
      <c r="F165" s="24" t="s">
        <v>251</v>
      </c>
      <c r="G165" s="31" t="s">
        <v>252</v>
      </c>
      <c r="H165" s="27" t="s">
        <v>783</v>
      </c>
      <c r="I165" s="27" t="s">
        <v>784</v>
      </c>
    </row>
    <row r="166" ht="28" customHeight="1" spans="1:9" x14ac:dyDescent="0.25">
      <c r="A166" s="84" t="s">
        <v>150</v>
      </c>
      <c r="B166" s="31" t="s">
        <v>151</v>
      </c>
      <c r="C166" s="76" t="s">
        <v>785</v>
      </c>
      <c r="D166" s="24" t="s">
        <v>229</v>
      </c>
      <c r="E166" s="24">
        <v>2</v>
      </c>
      <c r="F166" s="24" t="s">
        <v>786</v>
      </c>
      <c r="G166" s="31" t="s">
        <v>787</v>
      </c>
      <c r="H166" s="27" t="s">
        <v>788</v>
      </c>
      <c r="I166" s="27" t="s">
        <v>789</v>
      </c>
    </row>
    <row r="167" ht="28" customHeight="1" spans="1:9" x14ac:dyDescent="0.25">
      <c r="A167" s="84" t="s">
        <v>150</v>
      </c>
      <c r="B167" s="31" t="s">
        <v>151</v>
      </c>
      <c r="C167" s="76" t="s">
        <v>790</v>
      </c>
      <c r="D167" s="24" t="s">
        <v>416</v>
      </c>
      <c r="E167" s="24">
        <v>2</v>
      </c>
      <c r="F167" s="24" t="s">
        <v>786</v>
      </c>
      <c r="G167" s="31" t="s">
        <v>787</v>
      </c>
      <c r="H167" s="27" t="s">
        <v>791</v>
      </c>
      <c r="I167" s="27" t="s">
        <v>792</v>
      </c>
    </row>
    <row r="168" ht="28" customHeight="1" spans="1:9" x14ac:dyDescent="0.25">
      <c r="A168" s="84" t="s">
        <v>150</v>
      </c>
      <c r="B168" s="31" t="s">
        <v>151</v>
      </c>
      <c r="C168" s="76" t="s">
        <v>793</v>
      </c>
      <c r="D168" s="24" t="s">
        <v>238</v>
      </c>
      <c r="E168" s="24">
        <v>3</v>
      </c>
      <c r="F168" s="24" t="s">
        <v>794</v>
      </c>
      <c r="G168" s="31" t="s">
        <v>795</v>
      </c>
      <c r="H168" s="27" t="s">
        <v>796</v>
      </c>
      <c r="I168" s="27" t="s">
        <v>674</v>
      </c>
    </row>
    <row r="169" ht="28" customHeight="1" spans="1:9" x14ac:dyDescent="0.25">
      <c r="A169" s="84" t="s">
        <v>150</v>
      </c>
      <c r="B169" s="31" t="s">
        <v>151</v>
      </c>
      <c r="C169" s="76" t="s">
        <v>797</v>
      </c>
      <c r="D169" s="24" t="s">
        <v>250</v>
      </c>
      <c r="E169" s="24">
        <v>4</v>
      </c>
      <c r="F169" s="24" t="s">
        <v>798</v>
      </c>
      <c r="G169" s="31" t="s">
        <v>151</v>
      </c>
      <c r="H169" s="27" t="s">
        <v>799</v>
      </c>
      <c r="I169" s="27" t="s">
        <v>800</v>
      </c>
    </row>
    <row r="170" ht="28" customHeight="1" spans="1:9" x14ac:dyDescent="0.25">
      <c r="A170" s="84" t="s">
        <v>150</v>
      </c>
      <c r="B170" s="31" t="s">
        <v>151</v>
      </c>
      <c r="C170" s="76" t="s">
        <v>801</v>
      </c>
      <c r="D170" s="24" t="s">
        <v>256</v>
      </c>
      <c r="E170" s="24">
        <v>4</v>
      </c>
      <c r="F170" s="24" t="s">
        <v>798</v>
      </c>
      <c r="G170" s="31" t="s">
        <v>151</v>
      </c>
      <c r="H170" s="27" t="s">
        <v>802</v>
      </c>
      <c r="I170" s="27" t="s">
        <v>803</v>
      </c>
    </row>
    <row r="171" ht="28" customHeight="1" spans="1:9" x14ac:dyDescent="0.25">
      <c r="A171" s="84" t="s">
        <v>150</v>
      </c>
      <c r="B171" s="31" t="s">
        <v>151</v>
      </c>
      <c r="C171" s="76" t="s">
        <v>804</v>
      </c>
      <c r="D171" s="24" t="s">
        <v>260</v>
      </c>
      <c r="E171" s="24">
        <v>5</v>
      </c>
      <c r="F171" s="24" t="s">
        <v>805</v>
      </c>
      <c r="G171" s="31" t="s">
        <v>806</v>
      </c>
      <c r="H171" s="27" t="s">
        <v>807</v>
      </c>
      <c r="I171" s="27" t="s">
        <v>662</v>
      </c>
    </row>
    <row r="172" ht="28" customHeight="1" spans="1:9" x14ac:dyDescent="0.25">
      <c r="A172" s="84" t="s">
        <v>150</v>
      </c>
      <c r="B172" s="31" t="s">
        <v>151</v>
      </c>
      <c r="C172" s="76" t="s">
        <v>808</v>
      </c>
      <c r="D172" s="24" t="s">
        <v>266</v>
      </c>
      <c r="E172" s="24">
        <v>5</v>
      </c>
      <c r="F172" s="24" t="s">
        <v>805</v>
      </c>
      <c r="G172" s="31" t="s">
        <v>806</v>
      </c>
      <c r="H172" s="27" t="s">
        <v>809</v>
      </c>
      <c r="I172" s="27" t="s">
        <v>810</v>
      </c>
    </row>
    <row r="173" ht="28" customHeight="1" spans="1:9" x14ac:dyDescent="0.25">
      <c r="A173" s="84" t="s">
        <v>150</v>
      </c>
      <c r="B173" s="31" t="s">
        <v>151</v>
      </c>
      <c r="C173" s="76" t="s">
        <v>811</v>
      </c>
      <c r="D173" s="24" t="s">
        <v>270</v>
      </c>
      <c r="E173" s="24">
        <v>6</v>
      </c>
      <c r="F173" s="24" t="s">
        <v>549</v>
      </c>
      <c r="G173" s="31" t="s">
        <v>550</v>
      </c>
      <c r="H173" s="27" t="s">
        <v>812</v>
      </c>
      <c r="I173" s="27" t="s">
        <v>813</v>
      </c>
    </row>
    <row r="174" ht="28" customHeight="1" spans="1:9" x14ac:dyDescent="0.25">
      <c r="A174" s="84" t="s">
        <v>150</v>
      </c>
      <c r="B174" s="31" t="s">
        <v>151</v>
      </c>
      <c r="C174" s="76" t="s">
        <v>814</v>
      </c>
      <c r="D174" s="24" t="s">
        <v>274</v>
      </c>
      <c r="E174" s="24">
        <v>6</v>
      </c>
      <c r="F174" s="24" t="s">
        <v>549</v>
      </c>
      <c r="G174" s="31" t="s">
        <v>550</v>
      </c>
      <c r="H174" s="27" t="s">
        <v>815</v>
      </c>
      <c r="I174" s="27" t="s">
        <v>816</v>
      </c>
    </row>
    <row r="175" ht="28" customHeight="1" spans="1:9" x14ac:dyDescent="0.25">
      <c r="A175" s="84" t="s">
        <v>150</v>
      </c>
      <c r="B175" s="31" t="s">
        <v>151</v>
      </c>
      <c r="C175" s="76" t="s">
        <v>817</v>
      </c>
      <c r="D175" s="24" t="s">
        <v>278</v>
      </c>
      <c r="E175" s="24">
        <v>6</v>
      </c>
      <c r="F175" s="24" t="s">
        <v>549</v>
      </c>
      <c r="G175" s="31" t="s">
        <v>550</v>
      </c>
      <c r="H175" s="27" t="s">
        <v>818</v>
      </c>
      <c r="I175" s="27" t="s">
        <v>819</v>
      </c>
    </row>
    <row r="176" ht="28" customHeight="1" spans="1:9" x14ac:dyDescent="0.25">
      <c r="A176" s="84" t="s">
        <v>150</v>
      </c>
      <c r="B176" s="31" t="s">
        <v>151</v>
      </c>
      <c r="C176" s="76" t="s">
        <v>820</v>
      </c>
      <c r="D176" s="24" t="s">
        <v>520</v>
      </c>
      <c r="E176" s="24">
        <v>6</v>
      </c>
      <c r="F176" s="24" t="s">
        <v>549</v>
      </c>
      <c r="G176" s="31" t="s">
        <v>550</v>
      </c>
      <c r="H176" s="27" t="s">
        <v>821</v>
      </c>
      <c r="I176" s="27" t="s">
        <v>822</v>
      </c>
    </row>
    <row r="177" ht="28" customHeight="1" spans="1:9" x14ac:dyDescent="0.25">
      <c r="A177" s="85" t="s">
        <v>154</v>
      </c>
      <c r="B177" s="31" t="s">
        <v>155</v>
      </c>
      <c r="C177" s="76" t="s">
        <v>823</v>
      </c>
      <c r="D177" s="24" t="s">
        <v>216</v>
      </c>
      <c r="E177" s="24">
        <v>1</v>
      </c>
      <c r="F177" s="24" t="s">
        <v>490</v>
      </c>
      <c r="G177" s="31" t="s">
        <v>491</v>
      </c>
      <c r="H177" s="27" t="s">
        <v>824</v>
      </c>
      <c r="I177" s="27" t="s">
        <v>825</v>
      </c>
    </row>
    <row r="178" ht="28" customHeight="1" spans="1:9" x14ac:dyDescent="0.25">
      <c r="A178" s="85" t="s">
        <v>154</v>
      </c>
      <c r="B178" s="31" t="s">
        <v>155</v>
      </c>
      <c r="C178" s="76" t="s">
        <v>826</v>
      </c>
      <c r="D178" s="24" t="s">
        <v>222</v>
      </c>
      <c r="E178" s="24">
        <v>1</v>
      </c>
      <c r="F178" s="24" t="s">
        <v>490</v>
      </c>
      <c r="G178" s="31" t="s">
        <v>491</v>
      </c>
      <c r="H178" s="27" t="s">
        <v>827</v>
      </c>
      <c r="I178" s="27" t="s">
        <v>828</v>
      </c>
    </row>
    <row r="179" ht="28" customHeight="1" spans="1:9" x14ac:dyDescent="0.25">
      <c r="A179" s="85" t="s">
        <v>154</v>
      </c>
      <c r="B179" s="31" t="s">
        <v>155</v>
      </c>
      <c r="C179" s="76" t="s">
        <v>829</v>
      </c>
      <c r="D179" s="24" t="s">
        <v>225</v>
      </c>
      <c r="E179" s="24">
        <v>1</v>
      </c>
      <c r="F179" s="24" t="s">
        <v>490</v>
      </c>
      <c r="G179" s="31" t="s">
        <v>491</v>
      </c>
      <c r="H179" s="27" t="s">
        <v>830</v>
      </c>
      <c r="I179" s="27" t="s">
        <v>831</v>
      </c>
    </row>
    <row r="180" ht="28" customHeight="1" spans="1:9" x14ac:dyDescent="0.25">
      <c r="A180" s="85" t="s">
        <v>154</v>
      </c>
      <c r="B180" s="31" t="s">
        <v>155</v>
      </c>
      <c r="C180" s="76" t="s">
        <v>832</v>
      </c>
      <c r="D180" s="24" t="s">
        <v>229</v>
      </c>
      <c r="E180" s="24">
        <v>2</v>
      </c>
      <c r="F180" s="24" t="s">
        <v>472</v>
      </c>
      <c r="G180" s="31" t="s">
        <v>473</v>
      </c>
      <c r="H180" s="27" t="s">
        <v>833</v>
      </c>
      <c r="I180" s="27" t="s">
        <v>834</v>
      </c>
    </row>
    <row r="181" ht="28" customHeight="1" spans="1:9" x14ac:dyDescent="0.25">
      <c r="A181" s="85" t="s">
        <v>154</v>
      </c>
      <c r="B181" s="31" t="s">
        <v>155</v>
      </c>
      <c r="C181" s="76" t="s">
        <v>835</v>
      </c>
      <c r="D181" s="24" t="s">
        <v>234</v>
      </c>
      <c r="E181" s="24">
        <v>2</v>
      </c>
      <c r="F181" s="24" t="s">
        <v>472</v>
      </c>
      <c r="G181" s="31" t="s">
        <v>473</v>
      </c>
      <c r="H181" s="27" t="s">
        <v>836</v>
      </c>
      <c r="I181" s="27" t="s">
        <v>837</v>
      </c>
    </row>
    <row r="182" ht="28" customHeight="1" spans="1:9" x14ac:dyDescent="0.25">
      <c r="A182" s="85" t="s">
        <v>154</v>
      </c>
      <c r="B182" s="31" t="s">
        <v>155</v>
      </c>
      <c r="C182" s="76" t="s">
        <v>838</v>
      </c>
      <c r="D182" s="24" t="s">
        <v>416</v>
      </c>
      <c r="E182" s="24">
        <v>2</v>
      </c>
      <c r="F182" s="24" t="s">
        <v>472</v>
      </c>
      <c r="G182" s="31" t="s">
        <v>473</v>
      </c>
      <c r="H182" s="27" t="s">
        <v>839</v>
      </c>
      <c r="I182" s="27" t="s">
        <v>840</v>
      </c>
    </row>
    <row r="183" ht="28" customHeight="1" spans="1:9" x14ac:dyDescent="0.25">
      <c r="A183" s="85" t="s">
        <v>154</v>
      </c>
      <c r="B183" s="31" t="s">
        <v>155</v>
      </c>
      <c r="C183" s="76" t="s">
        <v>841</v>
      </c>
      <c r="D183" s="24" t="s">
        <v>238</v>
      </c>
      <c r="E183" s="24">
        <v>3</v>
      </c>
      <c r="F183" s="24" t="s">
        <v>457</v>
      </c>
      <c r="G183" s="31" t="s">
        <v>458</v>
      </c>
      <c r="H183" s="27" t="s">
        <v>842</v>
      </c>
      <c r="I183" s="27" t="s">
        <v>437</v>
      </c>
    </row>
    <row r="184" ht="28" customHeight="1" spans="1:9" x14ac:dyDescent="0.25">
      <c r="A184" s="85" t="s">
        <v>154</v>
      </c>
      <c r="B184" s="31" t="s">
        <v>155</v>
      </c>
      <c r="C184" s="76" t="s">
        <v>843</v>
      </c>
      <c r="D184" s="24" t="s">
        <v>242</v>
      </c>
      <c r="E184" s="24">
        <v>3</v>
      </c>
      <c r="F184" s="24" t="s">
        <v>457</v>
      </c>
      <c r="G184" s="31" t="s">
        <v>458</v>
      </c>
      <c r="H184" s="27" t="s">
        <v>844</v>
      </c>
      <c r="I184" s="27" t="s">
        <v>845</v>
      </c>
    </row>
    <row r="185" ht="28" customHeight="1" spans="1:9" x14ac:dyDescent="0.25">
      <c r="A185" s="85" t="s">
        <v>154</v>
      </c>
      <c r="B185" s="31" t="s">
        <v>155</v>
      </c>
      <c r="C185" s="76" t="s">
        <v>846</v>
      </c>
      <c r="D185" s="24" t="s">
        <v>246</v>
      </c>
      <c r="E185" s="24">
        <v>3</v>
      </c>
      <c r="F185" s="24" t="s">
        <v>457</v>
      </c>
      <c r="G185" s="31" t="s">
        <v>458</v>
      </c>
      <c r="H185" s="27" t="s">
        <v>847</v>
      </c>
      <c r="I185" s="27" t="s">
        <v>561</v>
      </c>
    </row>
    <row r="186" ht="28" customHeight="1" spans="1:9" x14ac:dyDescent="0.25">
      <c r="A186" s="85" t="s">
        <v>154</v>
      </c>
      <c r="B186" s="31" t="s">
        <v>155</v>
      </c>
      <c r="C186" s="76" t="s">
        <v>848</v>
      </c>
      <c r="D186" s="24" t="s">
        <v>482</v>
      </c>
      <c r="E186" s="24">
        <v>3</v>
      </c>
      <c r="F186" s="24" t="s">
        <v>457</v>
      </c>
      <c r="G186" s="31" t="s">
        <v>458</v>
      </c>
      <c r="H186" s="27" t="s">
        <v>849</v>
      </c>
      <c r="I186" s="27" t="s">
        <v>850</v>
      </c>
    </row>
    <row r="187" ht="28" customHeight="1" spans="1:9" x14ac:dyDescent="0.25">
      <c r="A187" s="85" t="s">
        <v>154</v>
      </c>
      <c r="B187" s="31" t="s">
        <v>155</v>
      </c>
      <c r="C187" s="76" t="s">
        <v>851</v>
      </c>
      <c r="D187" s="24" t="s">
        <v>486</v>
      </c>
      <c r="E187" s="24">
        <v>3</v>
      </c>
      <c r="F187" s="24" t="s">
        <v>457</v>
      </c>
      <c r="G187" s="31" t="s">
        <v>458</v>
      </c>
      <c r="H187" s="27" t="s">
        <v>852</v>
      </c>
      <c r="I187" s="27" t="s">
        <v>853</v>
      </c>
    </row>
    <row r="188" ht="28" customHeight="1" spans="1:9" x14ac:dyDescent="0.25">
      <c r="A188" s="85" t="s">
        <v>154</v>
      </c>
      <c r="B188" s="31" t="s">
        <v>155</v>
      </c>
      <c r="C188" s="76" t="s">
        <v>854</v>
      </c>
      <c r="D188" s="24" t="s">
        <v>250</v>
      </c>
      <c r="E188" s="24">
        <v>4</v>
      </c>
      <c r="F188" s="24" t="s">
        <v>855</v>
      </c>
      <c r="G188" s="31" t="s">
        <v>856</v>
      </c>
      <c r="H188" s="27" t="s">
        <v>857</v>
      </c>
      <c r="I188" s="27" t="s">
        <v>858</v>
      </c>
    </row>
    <row r="189" ht="28" customHeight="1" spans="1:9" x14ac:dyDescent="0.25">
      <c r="A189" s="85" t="s">
        <v>154</v>
      </c>
      <c r="B189" s="31" t="s">
        <v>155</v>
      </c>
      <c r="C189" s="76" t="s">
        <v>859</v>
      </c>
      <c r="D189" s="24" t="s">
        <v>256</v>
      </c>
      <c r="E189" s="24">
        <v>4</v>
      </c>
      <c r="F189" s="24" t="s">
        <v>855</v>
      </c>
      <c r="G189" s="31" t="s">
        <v>856</v>
      </c>
      <c r="H189" s="27" t="s">
        <v>860</v>
      </c>
      <c r="I189" s="27" t="s">
        <v>518</v>
      </c>
    </row>
    <row r="190" ht="28" customHeight="1" spans="1:9" x14ac:dyDescent="0.25">
      <c r="A190" s="85" t="s">
        <v>154</v>
      </c>
      <c r="B190" s="31" t="s">
        <v>155</v>
      </c>
      <c r="C190" s="76" t="s">
        <v>861</v>
      </c>
      <c r="D190" s="24" t="s">
        <v>498</v>
      </c>
      <c r="E190" s="24">
        <v>4</v>
      </c>
      <c r="F190" s="24" t="s">
        <v>855</v>
      </c>
      <c r="G190" s="31" t="s">
        <v>856</v>
      </c>
      <c r="H190" s="27" t="s">
        <v>862</v>
      </c>
      <c r="I190" s="27" t="s">
        <v>863</v>
      </c>
    </row>
    <row r="191" ht="28" customHeight="1" spans="1:9" x14ac:dyDescent="0.25">
      <c r="A191" s="85" t="s">
        <v>154</v>
      </c>
      <c r="B191" s="31" t="s">
        <v>155</v>
      </c>
      <c r="C191" s="76" t="s">
        <v>864</v>
      </c>
      <c r="D191" s="24" t="s">
        <v>865</v>
      </c>
      <c r="E191" s="24">
        <v>4</v>
      </c>
      <c r="F191" s="24" t="s">
        <v>855</v>
      </c>
      <c r="G191" s="31" t="s">
        <v>856</v>
      </c>
      <c r="H191" s="27" t="s">
        <v>866</v>
      </c>
      <c r="I191" s="27" t="s">
        <v>867</v>
      </c>
    </row>
    <row r="192" ht="28" customHeight="1" spans="1:9" x14ac:dyDescent="0.25">
      <c r="A192" s="85" t="s">
        <v>154</v>
      </c>
      <c r="B192" s="31" t="s">
        <v>155</v>
      </c>
      <c r="C192" s="76" t="s">
        <v>868</v>
      </c>
      <c r="D192" s="24" t="s">
        <v>260</v>
      </c>
      <c r="E192" s="24">
        <v>5</v>
      </c>
      <c r="F192" s="24" t="s">
        <v>676</v>
      </c>
      <c r="G192" s="31" t="s">
        <v>677</v>
      </c>
      <c r="H192" s="27" t="s">
        <v>869</v>
      </c>
      <c r="I192" s="27" t="s">
        <v>258</v>
      </c>
    </row>
    <row r="193" ht="28" customHeight="1" spans="1:9" x14ac:dyDescent="0.25">
      <c r="A193" s="85" t="s">
        <v>154</v>
      </c>
      <c r="B193" s="31" t="s">
        <v>155</v>
      </c>
      <c r="C193" s="76" t="s">
        <v>870</v>
      </c>
      <c r="D193" s="24" t="s">
        <v>266</v>
      </c>
      <c r="E193" s="24">
        <v>5</v>
      </c>
      <c r="F193" s="24" t="s">
        <v>676</v>
      </c>
      <c r="G193" s="31" t="s">
        <v>677</v>
      </c>
      <c r="H193" s="27" t="s">
        <v>871</v>
      </c>
      <c r="I193" s="27" t="s">
        <v>296</v>
      </c>
    </row>
    <row r="194" ht="28" customHeight="1" spans="1:9" x14ac:dyDescent="0.25">
      <c r="A194" s="85" t="s">
        <v>154</v>
      </c>
      <c r="B194" s="31" t="s">
        <v>155</v>
      </c>
      <c r="C194" s="76" t="s">
        <v>872</v>
      </c>
      <c r="D194" s="24" t="s">
        <v>439</v>
      </c>
      <c r="E194" s="24">
        <v>5</v>
      </c>
      <c r="F194" s="24" t="s">
        <v>676</v>
      </c>
      <c r="G194" s="31" t="s">
        <v>677</v>
      </c>
      <c r="H194" s="27" t="s">
        <v>873</v>
      </c>
      <c r="I194" s="27" t="s">
        <v>874</v>
      </c>
    </row>
    <row r="195" ht="28" customHeight="1" spans="1:9" x14ac:dyDescent="0.25">
      <c r="A195" s="85" t="s">
        <v>154</v>
      </c>
      <c r="B195" s="31" t="s">
        <v>155</v>
      </c>
      <c r="C195" s="76" t="s">
        <v>875</v>
      </c>
      <c r="D195" s="24" t="s">
        <v>876</v>
      </c>
      <c r="E195" s="24">
        <v>5</v>
      </c>
      <c r="F195" s="24" t="s">
        <v>676</v>
      </c>
      <c r="G195" s="31" t="s">
        <v>677</v>
      </c>
      <c r="H195" s="27" t="s">
        <v>877</v>
      </c>
      <c r="I195" s="27" t="s">
        <v>607</v>
      </c>
    </row>
    <row r="196" ht="28" customHeight="1" spans="1:9" x14ac:dyDescent="0.25">
      <c r="A196" s="85" t="s">
        <v>154</v>
      </c>
      <c r="B196" s="31" t="s">
        <v>155</v>
      </c>
      <c r="C196" s="76" t="s">
        <v>878</v>
      </c>
      <c r="D196" s="24" t="s">
        <v>879</v>
      </c>
      <c r="E196" s="24">
        <v>5</v>
      </c>
      <c r="F196" s="24" t="s">
        <v>676</v>
      </c>
      <c r="G196" s="31" t="s">
        <v>677</v>
      </c>
      <c r="H196" s="27" t="s">
        <v>880</v>
      </c>
      <c r="I196" s="27" t="s">
        <v>881</v>
      </c>
    </row>
    <row r="197" ht="28" customHeight="1" spans="1:9" x14ac:dyDescent="0.25">
      <c r="A197" s="85" t="s">
        <v>154</v>
      </c>
      <c r="B197" s="31" t="s">
        <v>155</v>
      </c>
      <c r="C197" s="76" t="s">
        <v>882</v>
      </c>
      <c r="D197" s="24" t="s">
        <v>270</v>
      </c>
      <c r="E197" s="24">
        <v>6</v>
      </c>
      <c r="F197" s="24" t="s">
        <v>383</v>
      </c>
      <c r="G197" s="31" t="s">
        <v>384</v>
      </c>
      <c r="H197" s="27" t="s">
        <v>883</v>
      </c>
      <c r="I197" s="27" t="s">
        <v>662</v>
      </c>
    </row>
    <row r="198" ht="28" customHeight="1" spans="1:9" x14ac:dyDescent="0.25">
      <c r="A198" s="85" t="s">
        <v>154</v>
      </c>
      <c r="B198" s="31" t="s">
        <v>155</v>
      </c>
      <c r="C198" s="76" t="s">
        <v>884</v>
      </c>
      <c r="D198" s="24" t="s">
        <v>274</v>
      </c>
      <c r="E198" s="24">
        <v>6</v>
      </c>
      <c r="F198" s="24" t="s">
        <v>383</v>
      </c>
      <c r="G198" s="31" t="s">
        <v>384</v>
      </c>
      <c r="H198" s="27" t="s">
        <v>885</v>
      </c>
      <c r="I198" s="27" t="s">
        <v>886</v>
      </c>
    </row>
    <row r="199" ht="28" customHeight="1" spans="1:9" x14ac:dyDescent="0.25">
      <c r="A199" s="85" t="s">
        <v>154</v>
      </c>
      <c r="B199" s="31" t="s">
        <v>155</v>
      </c>
      <c r="C199" s="76" t="s">
        <v>887</v>
      </c>
      <c r="D199" s="24" t="s">
        <v>278</v>
      </c>
      <c r="E199" s="24">
        <v>6</v>
      </c>
      <c r="F199" s="24" t="s">
        <v>383</v>
      </c>
      <c r="G199" s="31" t="s">
        <v>384</v>
      </c>
      <c r="H199" s="27" t="s">
        <v>888</v>
      </c>
      <c r="I199" s="27" t="s">
        <v>889</v>
      </c>
    </row>
    <row r="200" ht="28" customHeight="1" spans="1:9" x14ac:dyDescent="0.25">
      <c r="A200" s="85" t="s">
        <v>154</v>
      </c>
      <c r="B200" s="31" t="s">
        <v>155</v>
      </c>
      <c r="C200" s="76" t="s">
        <v>890</v>
      </c>
      <c r="D200" s="24" t="s">
        <v>520</v>
      </c>
      <c r="E200" s="24">
        <v>6</v>
      </c>
      <c r="F200" s="24" t="s">
        <v>383</v>
      </c>
      <c r="G200" s="31" t="s">
        <v>384</v>
      </c>
      <c r="H200" s="27" t="s">
        <v>891</v>
      </c>
      <c r="I200" s="27" t="s">
        <v>892</v>
      </c>
    </row>
    <row r="201" ht="28" customHeight="1" spans="1:9" x14ac:dyDescent="0.25">
      <c r="A201" s="85" t="s">
        <v>154</v>
      </c>
      <c r="B201" s="31" t="s">
        <v>155</v>
      </c>
      <c r="C201" s="76" t="s">
        <v>893</v>
      </c>
      <c r="D201" s="24" t="s">
        <v>894</v>
      </c>
      <c r="E201" s="24">
        <v>6</v>
      </c>
      <c r="F201" s="24" t="s">
        <v>383</v>
      </c>
      <c r="G201" s="31" t="s">
        <v>384</v>
      </c>
      <c r="H201" s="27" t="s">
        <v>895</v>
      </c>
      <c r="I201" s="27" t="s">
        <v>896</v>
      </c>
    </row>
    <row r="202" ht="28" customHeight="1" spans="1:9" x14ac:dyDescent="0.25">
      <c r="A202" s="85" t="s">
        <v>154</v>
      </c>
      <c r="B202" s="31" t="s">
        <v>155</v>
      </c>
      <c r="C202" s="76" t="s">
        <v>897</v>
      </c>
      <c r="D202" s="24" t="s">
        <v>898</v>
      </c>
      <c r="E202" s="24">
        <v>6</v>
      </c>
      <c r="F202" s="24" t="s">
        <v>383</v>
      </c>
      <c r="G202" s="31" t="s">
        <v>384</v>
      </c>
      <c r="H202" s="27" t="s">
        <v>899</v>
      </c>
      <c r="I202" s="27" t="s">
        <v>900</v>
      </c>
    </row>
    <row r="203" ht="28" customHeight="1" spans="1:9" x14ac:dyDescent="0.25">
      <c r="A203" s="86" t="s">
        <v>158</v>
      </c>
      <c r="B203" s="31" t="s">
        <v>159</v>
      </c>
      <c r="C203" s="76" t="s">
        <v>901</v>
      </c>
      <c r="D203" s="24" t="s">
        <v>216</v>
      </c>
      <c r="E203" s="24">
        <v>1</v>
      </c>
      <c r="F203" s="24" t="s">
        <v>457</v>
      </c>
      <c r="G203" s="31" t="s">
        <v>458</v>
      </c>
      <c r="H203" s="27" t="s">
        <v>902</v>
      </c>
      <c r="I203" s="27" t="s">
        <v>480</v>
      </c>
    </row>
    <row r="204" ht="28" customHeight="1" spans="1:9" x14ac:dyDescent="0.25">
      <c r="A204" s="86" t="s">
        <v>158</v>
      </c>
      <c r="B204" s="31" t="s">
        <v>159</v>
      </c>
      <c r="C204" s="76" t="s">
        <v>903</v>
      </c>
      <c r="D204" s="24" t="s">
        <v>222</v>
      </c>
      <c r="E204" s="24">
        <v>1</v>
      </c>
      <c r="F204" s="24" t="s">
        <v>457</v>
      </c>
      <c r="G204" s="31" t="s">
        <v>458</v>
      </c>
      <c r="H204" s="27" t="s">
        <v>904</v>
      </c>
      <c r="I204" s="27" t="s">
        <v>905</v>
      </c>
    </row>
    <row r="205" ht="28" customHeight="1" spans="1:9" x14ac:dyDescent="0.25">
      <c r="A205" s="86" t="s">
        <v>158</v>
      </c>
      <c r="B205" s="31" t="s">
        <v>159</v>
      </c>
      <c r="C205" s="76" t="s">
        <v>906</v>
      </c>
      <c r="D205" s="24" t="s">
        <v>225</v>
      </c>
      <c r="E205" s="24">
        <v>1</v>
      </c>
      <c r="F205" s="24" t="s">
        <v>457</v>
      </c>
      <c r="G205" s="31" t="s">
        <v>458</v>
      </c>
      <c r="H205" s="27" t="s">
        <v>907</v>
      </c>
      <c r="I205" s="27" t="s">
        <v>908</v>
      </c>
    </row>
    <row r="206" ht="28" customHeight="1" spans="1:9" x14ac:dyDescent="0.25">
      <c r="A206" s="86" t="s">
        <v>158</v>
      </c>
      <c r="B206" s="31" t="s">
        <v>159</v>
      </c>
      <c r="C206" s="76" t="s">
        <v>909</v>
      </c>
      <c r="D206" s="24" t="s">
        <v>229</v>
      </c>
      <c r="E206" s="24">
        <v>2</v>
      </c>
      <c r="F206" s="24" t="s">
        <v>347</v>
      </c>
      <c r="G206" s="31" t="s">
        <v>348</v>
      </c>
      <c r="H206" s="27" t="s">
        <v>910</v>
      </c>
      <c r="I206" s="27" t="s">
        <v>911</v>
      </c>
    </row>
    <row r="207" ht="28" customHeight="1" spans="1:9" x14ac:dyDescent="0.25">
      <c r="A207" s="86" t="s">
        <v>158</v>
      </c>
      <c r="B207" s="31" t="s">
        <v>159</v>
      </c>
      <c r="C207" s="76" t="s">
        <v>912</v>
      </c>
      <c r="D207" s="24" t="s">
        <v>234</v>
      </c>
      <c r="E207" s="24">
        <v>2</v>
      </c>
      <c r="F207" s="24" t="s">
        <v>347</v>
      </c>
      <c r="G207" s="31" t="s">
        <v>348</v>
      </c>
      <c r="H207" s="27" t="s">
        <v>913</v>
      </c>
      <c r="I207" s="27" t="s">
        <v>914</v>
      </c>
    </row>
    <row r="208" ht="28" customHeight="1" spans="1:9" x14ac:dyDescent="0.25">
      <c r="A208" s="86" t="s">
        <v>158</v>
      </c>
      <c r="B208" s="31" t="s">
        <v>159</v>
      </c>
      <c r="C208" s="76" t="s">
        <v>915</v>
      </c>
      <c r="D208" s="24" t="s">
        <v>416</v>
      </c>
      <c r="E208" s="24">
        <v>2</v>
      </c>
      <c r="F208" s="24" t="s">
        <v>347</v>
      </c>
      <c r="G208" s="31" t="s">
        <v>348</v>
      </c>
      <c r="H208" s="27" t="s">
        <v>916</v>
      </c>
      <c r="I208" s="27" t="s">
        <v>917</v>
      </c>
    </row>
    <row r="209" ht="28" customHeight="1" spans="1:9" x14ac:dyDescent="0.25">
      <c r="A209" s="86" t="s">
        <v>158</v>
      </c>
      <c r="B209" s="31" t="s">
        <v>159</v>
      </c>
      <c r="C209" s="76" t="s">
        <v>918</v>
      </c>
      <c r="D209" s="24" t="s">
        <v>468</v>
      </c>
      <c r="E209" s="24">
        <v>2</v>
      </c>
      <c r="F209" s="24" t="s">
        <v>347</v>
      </c>
      <c r="G209" s="31" t="s">
        <v>348</v>
      </c>
      <c r="H209" s="27" t="s">
        <v>919</v>
      </c>
      <c r="I209" s="27" t="s">
        <v>845</v>
      </c>
    </row>
    <row r="210" ht="28" customHeight="1" spans="1:9" x14ac:dyDescent="0.25">
      <c r="A210" s="86" t="s">
        <v>158</v>
      </c>
      <c r="B210" s="31" t="s">
        <v>159</v>
      </c>
      <c r="C210" s="76" t="s">
        <v>920</v>
      </c>
      <c r="D210" s="24" t="s">
        <v>921</v>
      </c>
      <c r="E210" s="24">
        <v>2</v>
      </c>
      <c r="F210" s="24" t="s">
        <v>347</v>
      </c>
      <c r="G210" s="31" t="s">
        <v>348</v>
      </c>
      <c r="H210" s="27" t="s">
        <v>922</v>
      </c>
      <c r="I210" s="27" t="s">
        <v>923</v>
      </c>
    </row>
    <row r="211" ht="28" customHeight="1" spans="1:9" x14ac:dyDescent="0.25">
      <c r="A211" s="86" t="s">
        <v>158</v>
      </c>
      <c r="B211" s="31" t="s">
        <v>159</v>
      </c>
      <c r="C211" s="76" t="s">
        <v>924</v>
      </c>
      <c r="D211" s="24" t="s">
        <v>925</v>
      </c>
      <c r="E211" s="24">
        <v>2</v>
      </c>
      <c r="F211" s="24" t="s">
        <v>347</v>
      </c>
      <c r="G211" s="31" t="s">
        <v>348</v>
      </c>
      <c r="H211" s="27" t="s">
        <v>926</v>
      </c>
      <c r="I211" s="27" t="s">
        <v>850</v>
      </c>
    </row>
    <row r="212" ht="28" customHeight="1" spans="1:9" x14ac:dyDescent="0.25">
      <c r="A212" s="86" t="s">
        <v>158</v>
      </c>
      <c r="B212" s="31" t="s">
        <v>159</v>
      </c>
      <c r="C212" s="76" t="s">
        <v>927</v>
      </c>
      <c r="D212" s="24" t="s">
        <v>238</v>
      </c>
      <c r="E212" s="24">
        <v>3</v>
      </c>
      <c r="F212" s="24" t="s">
        <v>293</v>
      </c>
      <c r="G212" s="31" t="s">
        <v>294</v>
      </c>
      <c r="H212" s="27" t="s">
        <v>928</v>
      </c>
      <c r="I212" s="27" t="s">
        <v>929</v>
      </c>
    </row>
    <row r="213" ht="28" customHeight="1" spans="1:9" x14ac:dyDescent="0.25">
      <c r="A213" s="86" t="s">
        <v>158</v>
      </c>
      <c r="B213" s="31" t="s">
        <v>159</v>
      </c>
      <c r="C213" s="76" t="s">
        <v>930</v>
      </c>
      <c r="D213" s="24" t="s">
        <v>242</v>
      </c>
      <c r="E213" s="24">
        <v>3</v>
      </c>
      <c r="F213" s="24" t="s">
        <v>293</v>
      </c>
      <c r="G213" s="31" t="s">
        <v>294</v>
      </c>
      <c r="H213" s="27" t="s">
        <v>931</v>
      </c>
      <c r="I213" s="27" t="s">
        <v>932</v>
      </c>
    </row>
    <row r="214" ht="28" customHeight="1" spans="1:9" x14ac:dyDescent="0.25">
      <c r="A214" s="86" t="s">
        <v>158</v>
      </c>
      <c r="B214" s="31" t="s">
        <v>159</v>
      </c>
      <c r="C214" s="76" t="s">
        <v>933</v>
      </c>
      <c r="D214" s="24" t="s">
        <v>246</v>
      </c>
      <c r="E214" s="24">
        <v>3</v>
      </c>
      <c r="F214" s="24" t="s">
        <v>293</v>
      </c>
      <c r="G214" s="31" t="s">
        <v>294</v>
      </c>
      <c r="H214" s="27" t="s">
        <v>934</v>
      </c>
      <c r="I214" s="27" t="s">
        <v>444</v>
      </c>
    </row>
    <row r="215" ht="28" customHeight="1" spans="1:9" x14ac:dyDescent="0.25">
      <c r="A215" s="86" t="s">
        <v>158</v>
      </c>
      <c r="B215" s="31" t="s">
        <v>159</v>
      </c>
      <c r="C215" s="76" t="s">
        <v>935</v>
      </c>
      <c r="D215" s="24" t="s">
        <v>482</v>
      </c>
      <c r="E215" s="24">
        <v>3</v>
      </c>
      <c r="F215" s="24" t="s">
        <v>293</v>
      </c>
      <c r="G215" s="31" t="s">
        <v>294</v>
      </c>
      <c r="H215" s="27" t="s">
        <v>936</v>
      </c>
      <c r="I215" s="27" t="s">
        <v>937</v>
      </c>
    </row>
    <row r="216" ht="28" customHeight="1" spans="1:9" x14ac:dyDescent="0.25">
      <c r="A216" s="86" t="s">
        <v>158</v>
      </c>
      <c r="B216" s="31" t="s">
        <v>159</v>
      </c>
      <c r="C216" s="76" t="s">
        <v>938</v>
      </c>
      <c r="D216" s="24" t="s">
        <v>250</v>
      </c>
      <c r="E216" s="24">
        <v>4</v>
      </c>
      <c r="F216" s="24" t="s">
        <v>751</v>
      </c>
      <c r="G216" s="31" t="s">
        <v>752</v>
      </c>
      <c r="H216" s="27" t="s">
        <v>939</v>
      </c>
      <c r="I216" s="27" t="s">
        <v>697</v>
      </c>
    </row>
    <row r="217" ht="28" customHeight="1" spans="1:9" x14ac:dyDescent="0.25">
      <c r="A217" s="86" t="s">
        <v>158</v>
      </c>
      <c r="B217" s="31" t="s">
        <v>159</v>
      </c>
      <c r="C217" s="76" t="s">
        <v>940</v>
      </c>
      <c r="D217" s="24" t="s">
        <v>256</v>
      </c>
      <c r="E217" s="24">
        <v>4</v>
      </c>
      <c r="F217" s="24" t="s">
        <v>751</v>
      </c>
      <c r="G217" s="31" t="s">
        <v>752</v>
      </c>
      <c r="H217" s="27" t="s">
        <v>941</v>
      </c>
      <c r="I217" s="27" t="s">
        <v>942</v>
      </c>
    </row>
    <row r="218" ht="28" customHeight="1" spans="1:9" x14ac:dyDescent="0.25">
      <c r="A218" s="86" t="s">
        <v>158</v>
      </c>
      <c r="B218" s="31" t="s">
        <v>159</v>
      </c>
      <c r="C218" s="76" t="s">
        <v>943</v>
      </c>
      <c r="D218" s="24" t="s">
        <v>498</v>
      </c>
      <c r="E218" s="24">
        <v>4</v>
      </c>
      <c r="F218" s="24" t="s">
        <v>751</v>
      </c>
      <c r="G218" s="31" t="s">
        <v>752</v>
      </c>
      <c r="H218" s="27" t="s">
        <v>944</v>
      </c>
      <c r="I218" s="27" t="s">
        <v>296</v>
      </c>
    </row>
    <row r="219" ht="28" customHeight="1" spans="1:9" x14ac:dyDescent="0.25">
      <c r="A219" s="86" t="s">
        <v>158</v>
      </c>
      <c r="B219" s="31" t="s">
        <v>159</v>
      </c>
      <c r="C219" s="76" t="s">
        <v>945</v>
      </c>
      <c r="D219" s="24" t="s">
        <v>865</v>
      </c>
      <c r="E219" s="24">
        <v>4</v>
      </c>
      <c r="F219" s="24" t="s">
        <v>751</v>
      </c>
      <c r="G219" s="31" t="s">
        <v>752</v>
      </c>
      <c r="H219" s="27" t="s">
        <v>946</v>
      </c>
      <c r="I219" s="27" t="s">
        <v>874</v>
      </c>
    </row>
    <row r="220" ht="28" customHeight="1" spans="1:9" x14ac:dyDescent="0.25">
      <c r="A220" s="86" t="s">
        <v>158</v>
      </c>
      <c r="B220" s="31" t="s">
        <v>159</v>
      </c>
      <c r="C220" s="76" t="s">
        <v>947</v>
      </c>
      <c r="D220" s="24" t="s">
        <v>260</v>
      </c>
      <c r="E220" s="24">
        <v>5</v>
      </c>
      <c r="F220" s="24" t="s">
        <v>420</v>
      </c>
      <c r="G220" s="31" t="s">
        <v>421</v>
      </c>
      <c r="H220" s="27" t="s">
        <v>948</v>
      </c>
      <c r="I220" s="27" t="s">
        <v>949</v>
      </c>
    </row>
    <row r="221" ht="28" customHeight="1" spans="1:9" x14ac:dyDescent="0.25">
      <c r="A221" s="86" t="s">
        <v>158</v>
      </c>
      <c r="B221" s="31" t="s">
        <v>159</v>
      </c>
      <c r="C221" s="76" t="s">
        <v>950</v>
      </c>
      <c r="D221" s="24" t="s">
        <v>266</v>
      </c>
      <c r="E221" s="24">
        <v>5</v>
      </c>
      <c r="F221" s="24" t="s">
        <v>420</v>
      </c>
      <c r="G221" s="31" t="s">
        <v>421</v>
      </c>
      <c r="H221" s="27" t="s">
        <v>951</v>
      </c>
      <c r="I221" s="27" t="s">
        <v>952</v>
      </c>
    </row>
    <row r="222" ht="28" customHeight="1" spans="1:9" x14ac:dyDescent="0.25">
      <c r="A222" s="86" t="s">
        <v>158</v>
      </c>
      <c r="B222" s="31" t="s">
        <v>159</v>
      </c>
      <c r="C222" s="76" t="s">
        <v>953</v>
      </c>
      <c r="D222" s="24" t="s">
        <v>439</v>
      </c>
      <c r="E222" s="24">
        <v>5</v>
      </c>
      <c r="F222" s="24" t="s">
        <v>420</v>
      </c>
      <c r="G222" s="31" t="s">
        <v>421</v>
      </c>
      <c r="H222" s="27" t="s">
        <v>954</v>
      </c>
      <c r="I222" s="27" t="s">
        <v>955</v>
      </c>
    </row>
    <row r="223" ht="28" customHeight="1" spans="1:9" x14ac:dyDescent="0.25">
      <c r="A223" s="87" t="s">
        <v>162</v>
      </c>
      <c r="B223" s="31" t="s">
        <v>163</v>
      </c>
      <c r="C223" s="76" t="s">
        <v>400</v>
      </c>
      <c r="D223" s="24" t="s">
        <v>216</v>
      </c>
      <c r="E223" s="24">
        <v>1</v>
      </c>
      <c r="F223" s="24" t="s">
        <v>327</v>
      </c>
      <c r="G223" s="31" t="s">
        <v>328</v>
      </c>
      <c r="H223" s="27" t="s">
        <v>401</v>
      </c>
      <c r="I223" s="27" t="s">
        <v>402</v>
      </c>
    </row>
    <row r="224" ht="28" customHeight="1" spans="1:9" x14ac:dyDescent="0.25">
      <c r="A224" s="87" t="s">
        <v>162</v>
      </c>
      <c r="B224" s="31" t="s">
        <v>163</v>
      </c>
      <c r="C224" s="76" t="s">
        <v>403</v>
      </c>
      <c r="D224" s="24" t="s">
        <v>222</v>
      </c>
      <c r="E224" s="24">
        <v>1</v>
      </c>
      <c r="F224" s="24" t="s">
        <v>327</v>
      </c>
      <c r="G224" s="31" t="s">
        <v>328</v>
      </c>
      <c r="H224" s="27" t="s">
        <v>404</v>
      </c>
      <c r="I224" s="27" t="s">
        <v>405</v>
      </c>
    </row>
    <row r="225" ht="28" customHeight="1" spans="1:9" x14ac:dyDescent="0.25">
      <c r="A225" s="87" t="s">
        <v>162</v>
      </c>
      <c r="B225" s="31" t="s">
        <v>163</v>
      </c>
      <c r="C225" s="76" t="s">
        <v>406</v>
      </c>
      <c r="D225" s="24" t="s">
        <v>225</v>
      </c>
      <c r="E225" s="24">
        <v>1</v>
      </c>
      <c r="F225" s="24" t="s">
        <v>327</v>
      </c>
      <c r="G225" s="31" t="s">
        <v>328</v>
      </c>
      <c r="H225" s="27" t="s">
        <v>407</v>
      </c>
      <c r="I225" s="27" t="s">
        <v>408</v>
      </c>
    </row>
    <row r="226" ht="28" customHeight="1" spans="1:9" x14ac:dyDescent="0.25">
      <c r="A226" s="87" t="s">
        <v>162</v>
      </c>
      <c r="B226" s="31" t="s">
        <v>163</v>
      </c>
      <c r="C226" s="76" t="s">
        <v>409</v>
      </c>
      <c r="D226" s="24" t="s">
        <v>229</v>
      </c>
      <c r="E226" s="24">
        <v>2</v>
      </c>
      <c r="F226" s="24" t="s">
        <v>347</v>
      </c>
      <c r="G226" s="31" t="s">
        <v>348</v>
      </c>
      <c r="H226" s="27" t="s">
        <v>410</v>
      </c>
      <c r="I226" s="27" t="s">
        <v>411</v>
      </c>
    </row>
    <row r="227" ht="28" customHeight="1" spans="1:9" x14ac:dyDescent="0.25">
      <c r="A227" s="87" t="s">
        <v>162</v>
      </c>
      <c r="B227" s="31" t="s">
        <v>163</v>
      </c>
      <c r="C227" s="76" t="s">
        <v>412</v>
      </c>
      <c r="D227" s="24" t="s">
        <v>234</v>
      </c>
      <c r="E227" s="24">
        <v>2</v>
      </c>
      <c r="F227" s="24" t="s">
        <v>347</v>
      </c>
      <c r="G227" s="31" t="s">
        <v>348</v>
      </c>
      <c r="H227" s="27" t="s">
        <v>413</v>
      </c>
      <c r="I227" s="27" t="s">
        <v>414</v>
      </c>
    </row>
    <row r="228" ht="28" customHeight="1" spans="1:9" x14ac:dyDescent="0.25">
      <c r="A228" s="87" t="s">
        <v>162</v>
      </c>
      <c r="B228" s="31" t="s">
        <v>163</v>
      </c>
      <c r="C228" s="76" t="s">
        <v>415</v>
      </c>
      <c r="D228" s="24" t="s">
        <v>416</v>
      </c>
      <c r="E228" s="24">
        <v>2</v>
      </c>
      <c r="F228" s="24" t="s">
        <v>347</v>
      </c>
      <c r="G228" s="31" t="s">
        <v>348</v>
      </c>
      <c r="H228" s="27" t="s">
        <v>417</v>
      </c>
      <c r="I228" s="27" t="s">
        <v>418</v>
      </c>
    </row>
    <row r="229" ht="28" customHeight="1" spans="1:9" x14ac:dyDescent="0.25">
      <c r="A229" s="87" t="s">
        <v>162</v>
      </c>
      <c r="B229" s="31" t="s">
        <v>163</v>
      </c>
      <c r="C229" s="76" t="s">
        <v>419</v>
      </c>
      <c r="D229" s="24" t="s">
        <v>238</v>
      </c>
      <c r="E229" s="24">
        <v>3</v>
      </c>
      <c r="F229" s="24" t="s">
        <v>420</v>
      </c>
      <c r="G229" s="31" t="s">
        <v>421</v>
      </c>
      <c r="H229" s="27" t="s">
        <v>422</v>
      </c>
      <c r="I229" s="27" t="s">
        <v>423</v>
      </c>
    </row>
    <row r="230" ht="28" customHeight="1" spans="1:9" x14ac:dyDescent="0.25">
      <c r="A230" s="87" t="s">
        <v>162</v>
      </c>
      <c r="B230" s="31" t="s">
        <v>163</v>
      </c>
      <c r="C230" s="76" t="s">
        <v>424</v>
      </c>
      <c r="D230" s="24" t="s">
        <v>242</v>
      </c>
      <c r="E230" s="24">
        <v>3</v>
      </c>
      <c r="F230" s="24" t="s">
        <v>420</v>
      </c>
      <c r="G230" s="31" t="s">
        <v>421</v>
      </c>
      <c r="H230" s="27" t="s">
        <v>425</v>
      </c>
      <c r="I230" s="27" t="s">
        <v>426</v>
      </c>
    </row>
    <row r="231" ht="28" customHeight="1" spans="1:9" x14ac:dyDescent="0.25">
      <c r="A231" s="87" t="s">
        <v>162</v>
      </c>
      <c r="B231" s="31" t="s">
        <v>163</v>
      </c>
      <c r="C231" s="76" t="s">
        <v>427</v>
      </c>
      <c r="D231" s="24" t="s">
        <v>250</v>
      </c>
      <c r="E231" s="24">
        <v>4</v>
      </c>
      <c r="F231" s="24" t="s">
        <v>420</v>
      </c>
      <c r="G231" s="31" t="s">
        <v>421</v>
      </c>
      <c r="H231" s="27" t="s">
        <v>428</v>
      </c>
      <c r="I231" s="27" t="s">
        <v>429</v>
      </c>
    </row>
    <row r="232" ht="28" customHeight="1" spans="1:9" x14ac:dyDescent="0.25">
      <c r="A232" s="87" t="s">
        <v>162</v>
      </c>
      <c r="B232" s="31" t="s">
        <v>163</v>
      </c>
      <c r="C232" s="76" t="s">
        <v>430</v>
      </c>
      <c r="D232" s="24" t="s">
        <v>256</v>
      </c>
      <c r="E232" s="24">
        <v>4</v>
      </c>
      <c r="F232" s="24" t="s">
        <v>420</v>
      </c>
      <c r="G232" s="31" t="s">
        <v>421</v>
      </c>
      <c r="H232" s="27" t="s">
        <v>431</v>
      </c>
      <c r="I232" s="27" t="s">
        <v>418</v>
      </c>
    </row>
    <row r="233" ht="28" customHeight="1" spans="1:9" x14ac:dyDescent="0.25">
      <c r="A233" s="87" t="s">
        <v>162</v>
      </c>
      <c r="B233" s="31" t="s">
        <v>163</v>
      </c>
      <c r="C233" s="76" t="s">
        <v>432</v>
      </c>
      <c r="D233" s="24" t="s">
        <v>260</v>
      </c>
      <c r="E233" s="24">
        <v>5</v>
      </c>
      <c r="F233" s="24" t="s">
        <v>383</v>
      </c>
      <c r="G233" s="31" t="s">
        <v>384</v>
      </c>
      <c r="H233" s="27" t="s">
        <v>433</v>
      </c>
      <c r="I233" s="27" t="s">
        <v>434</v>
      </c>
    </row>
    <row r="234" ht="28" customHeight="1" spans="1:9" x14ac:dyDescent="0.25">
      <c r="A234" s="87" t="s">
        <v>162</v>
      </c>
      <c r="B234" s="31" t="s">
        <v>163</v>
      </c>
      <c r="C234" s="76" t="s">
        <v>435</v>
      </c>
      <c r="D234" s="24" t="s">
        <v>266</v>
      </c>
      <c r="E234" s="24">
        <v>5</v>
      </c>
      <c r="F234" s="24" t="s">
        <v>383</v>
      </c>
      <c r="G234" s="31" t="s">
        <v>384</v>
      </c>
      <c r="H234" s="27" t="s">
        <v>436</v>
      </c>
      <c r="I234" s="27" t="s">
        <v>437</v>
      </c>
    </row>
    <row r="235" ht="28" customHeight="1" spans="1:9" x14ac:dyDescent="0.25">
      <c r="A235" s="87" t="s">
        <v>162</v>
      </c>
      <c r="B235" s="31" t="s">
        <v>163</v>
      </c>
      <c r="C235" s="76" t="s">
        <v>438</v>
      </c>
      <c r="D235" s="24" t="s">
        <v>439</v>
      </c>
      <c r="E235" s="24">
        <v>5</v>
      </c>
      <c r="F235" s="24" t="s">
        <v>383</v>
      </c>
      <c r="G235" s="31" t="s">
        <v>384</v>
      </c>
      <c r="H235" s="27" t="s">
        <v>440</v>
      </c>
      <c r="I235" s="27" t="s">
        <v>441</v>
      </c>
    </row>
    <row r="236" ht="28" customHeight="1" spans="1:9" x14ac:dyDescent="0.25">
      <c r="A236" s="87" t="s">
        <v>162</v>
      </c>
      <c r="B236" s="31" t="s">
        <v>163</v>
      </c>
      <c r="C236" s="76" t="s">
        <v>442</v>
      </c>
      <c r="D236" s="24" t="s">
        <v>270</v>
      </c>
      <c r="E236" s="24">
        <v>6</v>
      </c>
      <c r="F236" s="24" t="s">
        <v>322</v>
      </c>
      <c r="G236" s="31" t="s">
        <v>323</v>
      </c>
      <c r="H236" s="27" t="s">
        <v>443</v>
      </c>
      <c r="I236" s="27" t="s">
        <v>444</v>
      </c>
    </row>
    <row r="237" ht="28" customHeight="1" spans="1:9" x14ac:dyDescent="0.25">
      <c r="A237" s="87" t="s">
        <v>162</v>
      </c>
      <c r="B237" s="31" t="s">
        <v>163</v>
      </c>
      <c r="C237" s="76" t="s">
        <v>445</v>
      </c>
      <c r="D237" s="24" t="s">
        <v>274</v>
      </c>
      <c r="E237" s="24">
        <v>6</v>
      </c>
      <c r="F237" s="24" t="s">
        <v>322</v>
      </c>
      <c r="G237" s="31" t="s">
        <v>323</v>
      </c>
      <c r="H237" s="27" t="s">
        <v>446</v>
      </c>
      <c r="I237" s="27" t="s">
        <v>447</v>
      </c>
    </row>
    <row r="238" ht="28" customHeight="1" spans="1:9" x14ac:dyDescent="0.25">
      <c r="A238" s="87" t="s">
        <v>162</v>
      </c>
      <c r="B238" s="31" t="s">
        <v>163</v>
      </c>
      <c r="C238" s="76" t="s">
        <v>448</v>
      </c>
      <c r="D238" s="24" t="s">
        <v>278</v>
      </c>
      <c r="E238" s="24">
        <v>6</v>
      </c>
      <c r="F238" s="24" t="s">
        <v>322</v>
      </c>
      <c r="G238" s="31" t="s">
        <v>323</v>
      </c>
      <c r="H238" s="27" t="s">
        <v>449</v>
      </c>
      <c r="I238" s="27" t="s">
        <v>450</v>
      </c>
    </row>
    <row r="239" ht="28" customHeight="1" spans="1:9" x14ac:dyDescent="0.25">
      <c r="A239" s="88" t="s">
        <v>166</v>
      </c>
      <c r="B239" s="31" t="s">
        <v>167</v>
      </c>
      <c r="C239" s="76" t="s">
        <v>321</v>
      </c>
      <c r="D239" s="24" t="s">
        <v>222</v>
      </c>
      <c r="E239" s="24">
        <v>1</v>
      </c>
      <c r="F239" s="24" t="s">
        <v>322</v>
      </c>
      <c r="G239" s="31" t="s">
        <v>323</v>
      </c>
      <c r="H239" s="27" t="s">
        <v>324</v>
      </c>
      <c r="I239" s="27" t="s">
        <v>325</v>
      </c>
    </row>
    <row r="240" ht="28" customHeight="1" spans="1:9" x14ac:dyDescent="0.25">
      <c r="A240" s="88" t="s">
        <v>166</v>
      </c>
      <c r="B240" s="31" t="s">
        <v>167</v>
      </c>
      <c r="C240" s="76" t="s">
        <v>326</v>
      </c>
      <c r="D240" s="24" t="s">
        <v>229</v>
      </c>
      <c r="E240" s="24">
        <v>2</v>
      </c>
      <c r="F240" s="24" t="s">
        <v>327</v>
      </c>
      <c r="G240" s="31" t="s">
        <v>328</v>
      </c>
      <c r="H240" s="27" t="s">
        <v>329</v>
      </c>
      <c r="I240" s="27" t="s">
        <v>330</v>
      </c>
    </row>
    <row r="241" ht="28" customHeight="1" spans="1:9" x14ac:dyDescent="0.25">
      <c r="A241" s="88" t="s">
        <v>166</v>
      </c>
      <c r="B241" s="31" t="s">
        <v>167</v>
      </c>
      <c r="C241" s="76" t="s">
        <v>331</v>
      </c>
      <c r="D241" s="24" t="s">
        <v>234</v>
      </c>
      <c r="E241" s="24">
        <v>2</v>
      </c>
      <c r="F241" s="24" t="s">
        <v>327</v>
      </c>
      <c r="G241" s="31" t="s">
        <v>328</v>
      </c>
      <c r="H241" s="27" t="s">
        <v>332</v>
      </c>
      <c r="I241" s="27" t="s">
        <v>333</v>
      </c>
    </row>
    <row r="242" ht="28" customHeight="1" spans="1:9" x14ac:dyDescent="0.25">
      <c r="A242" s="88" t="s">
        <v>166</v>
      </c>
      <c r="B242" s="31" t="s">
        <v>167</v>
      </c>
      <c r="C242" s="76" t="s">
        <v>334</v>
      </c>
      <c r="D242" s="24" t="s">
        <v>238</v>
      </c>
      <c r="E242" s="24">
        <v>3</v>
      </c>
      <c r="F242" s="24" t="s">
        <v>293</v>
      </c>
      <c r="G242" s="31" t="s">
        <v>294</v>
      </c>
      <c r="H242" s="27" t="s">
        <v>335</v>
      </c>
      <c r="I242" s="27" t="s">
        <v>336</v>
      </c>
    </row>
    <row r="243" ht="28" customHeight="1" spans="1:9" x14ac:dyDescent="0.25">
      <c r="A243" s="88" t="s">
        <v>166</v>
      </c>
      <c r="B243" s="31" t="s">
        <v>167</v>
      </c>
      <c r="C243" s="76" t="s">
        <v>337</v>
      </c>
      <c r="D243" s="24" t="s">
        <v>242</v>
      </c>
      <c r="E243" s="24">
        <v>3</v>
      </c>
      <c r="F243" s="24" t="s">
        <v>293</v>
      </c>
      <c r="G243" s="31" t="s">
        <v>294</v>
      </c>
      <c r="H243" s="27" t="s">
        <v>338</v>
      </c>
      <c r="I243" s="27" t="s">
        <v>339</v>
      </c>
    </row>
    <row r="244" ht="28" customHeight="1" spans="1:9" x14ac:dyDescent="0.25">
      <c r="A244" s="88" t="s">
        <v>166</v>
      </c>
      <c r="B244" s="31" t="s">
        <v>167</v>
      </c>
      <c r="C244" s="76" t="s">
        <v>340</v>
      </c>
      <c r="D244" s="24" t="s">
        <v>250</v>
      </c>
      <c r="E244" s="24">
        <v>4</v>
      </c>
      <c r="F244" s="24" t="s">
        <v>327</v>
      </c>
      <c r="G244" s="31" t="s">
        <v>328</v>
      </c>
      <c r="H244" s="27" t="s">
        <v>341</v>
      </c>
      <c r="I244" s="27" t="s">
        <v>342</v>
      </c>
    </row>
    <row r="245" ht="28" customHeight="1" spans="1:9" x14ac:dyDescent="0.25">
      <c r="A245" s="88" t="s">
        <v>166</v>
      </c>
      <c r="B245" s="31" t="s">
        <v>167</v>
      </c>
      <c r="C245" s="76" t="s">
        <v>343</v>
      </c>
      <c r="D245" s="24" t="s">
        <v>256</v>
      </c>
      <c r="E245" s="24">
        <v>4</v>
      </c>
      <c r="F245" s="24" t="s">
        <v>327</v>
      </c>
      <c r="G245" s="31" t="s">
        <v>328</v>
      </c>
      <c r="H245" s="27" t="s">
        <v>344</v>
      </c>
      <c r="I245" s="27" t="s">
        <v>345</v>
      </c>
    </row>
    <row r="246" ht="28" customHeight="1" spans="1:9" x14ac:dyDescent="0.25">
      <c r="A246" s="88" t="s">
        <v>166</v>
      </c>
      <c r="B246" s="31" t="s">
        <v>167</v>
      </c>
      <c r="C246" s="76" t="s">
        <v>346</v>
      </c>
      <c r="D246" s="24" t="s">
        <v>260</v>
      </c>
      <c r="E246" s="24">
        <v>5</v>
      </c>
      <c r="F246" s="24" t="s">
        <v>347</v>
      </c>
      <c r="G246" s="31" t="s">
        <v>348</v>
      </c>
      <c r="H246" s="27" t="s">
        <v>349</v>
      </c>
      <c r="I246" s="27" t="s">
        <v>350</v>
      </c>
    </row>
    <row r="247" ht="28" customHeight="1" spans="1:9" x14ac:dyDescent="0.25">
      <c r="A247" s="88" t="s">
        <v>166</v>
      </c>
      <c r="B247" s="31" t="s">
        <v>167</v>
      </c>
      <c r="C247" s="76" t="s">
        <v>351</v>
      </c>
      <c r="D247" s="24" t="s">
        <v>266</v>
      </c>
      <c r="E247" s="24">
        <v>5</v>
      </c>
      <c r="F247" s="24" t="s">
        <v>347</v>
      </c>
      <c r="G247" s="31" t="s">
        <v>348</v>
      </c>
      <c r="H247" s="27" t="s">
        <v>352</v>
      </c>
      <c r="I247" s="27" t="s">
        <v>353</v>
      </c>
    </row>
    <row r="248" ht="28" customHeight="1" spans="1:9" x14ac:dyDescent="0.25">
      <c r="A248" s="88" t="s">
        <v>166</v>
      </c>
      <c r="B248" s="31" t="s">
        <v>167</v>
      </c>
      <c r="C248" s="76" t="s">
        <v>354</v>
      </c>
      <c r="D248" s="24" t="s">
        <v>270</v>
      </c>
      <c r="E248" s="24">
        <v>6</v>
      </c>
      <c r="F248" s="24" t="s">
        <v>355</v>
      </c>
      <c r="G248" s="31" t="s">
        <v>356</v>
      </c>
      <c r="H248" s="27" t="s">
        <v>357</v>
      </c>
      <c r="I248" s="27" t="s">
        <v>358</v>
      </c>
    </row>
    <row r="249" ht="28" customHeight="1" spans="1:9" x14ac:dyDescent="0.25">
      <c r="A249" s="88" t="s">
        <v>166</v>
      </c>
      <c r="B249" s="31" t="s">
        <v>167</v>
      </c>
      <c r="C249" s="76" t="s">
        <v>359</v>
      </c>
      <c r="D249" s="24" t="s">
        <v>274</v>
      </c>
      <c r="E249" s="24">
        <v>6</v>
      </c>
      <c r="F249" s="24" t="s">
        <v>355</v>
      </c>
      <c r="G249" s="31" t="s">
        <v>356</v>
      </c>
      <c r="H249" s="27" t="s">
        <v>360</v>
      </c>
      <c r="I249" s="27" t="s">
        <v>361</v>
      </c>
    </row>
    <row r="250" ht="28" customHeight="1" spans="1:9" x14ac:dyDescent="0.25">
      <c r="A250" s="88" t="s">
        <v>166</v>
      </c>
      <c r="B250" s="31" t="s">
        <v>167</v>
      </c>
      <c r="C250" s="76" t="s">
        <v>362</v>
      </c>
      <c r="D250" s="24" t="s">
        <v>278</v>
      </c>
      <c r="E250" s="24">
        <v>6</v>
      </c>
      <c r="F250" s="24" t="s">
        <v>355</v>
      </c>
      <c r="G250" s="31" t="s">
        <v>356</v>
      </c>
      <c r="H250" s="27" t="s">
        <v>363</v>
      </c>
      <c r="I250" s="27" t="s">
        <v>358</v>
      </c>
    </row>
    <row r="251" ht="28" customHeight="1" spans="1:9" x14ac:dyDescent="0.25">
      <c r="A251" s="88" t="s">
        <v>166</v>
      </c>
      <c r="B251" s="31" t="s">
        <v>167</v>
      </c>
      <c r="C251" s="76" t="s">
        <v>364</v>
      </c>
      <c r="D251" s="24" t="s">
        <v>282</v>
      </c>
      <c r="E251" s="24">
        <v>7</v>
      </c>
      <c r="F251" s="24" t="s">
        <v>365</v>
      </c>
      <c r="G251" s="31" t="s">
        <v>366</v>
      </c>
      <c r="H251" s="27" t="s">
        <v>367</v>
      </c>
      <c r="I251" s="27" t="s">
        <v>368</v>
      </c>
    </row>
    <row r="252" ht="28" customHeight="1" spans="1:9" x14ac:dyDescent="0.25">
      <c r="A252" s="88" t="s">
        <v>166</v>
      </c>
      <c r="B252" s="31" t="s">
        <v>167</v>
      </c>
      <c r="C252" s="76" t="s">
        <v>369</v>
      </c>
      <c r="D252" s="24" t="s">
        <v>288</v>
      </c>
      <c r="E252" s="24">
        <v>7</v>
      </c>
      <c r="F252" s="24" t="s">
        <v>365</v>
      </c>
      <c r="G252" s="31" t="s">
        <v>366</v>
      </c>
      <c r="H252" s="27" t="s">
        <v>370</v>
      </c>
      <c r="I252" s="27" t="s">
        <v>371</v>
      </c>
    </row>
    <row r="253" ht="28" customHeight="1" spans="1:9" x14ac:dyDescent="0.25">
      <c r="A253" s="88" t="s">
        <v>166</v>
      </c>
      <c r="B253" s="31" t="s">
        <v>167</v>
      </c>
      <c r="C253" s="76" t="s">
        <v>372</v>
      </c>
      <c r="D253" s="24" t="s">
        <v>292</v>
      </c>
      <c r="E253" s="24">
        <v>8</v>
      </c>
      <c r="F253" s="24" t="s">
        <v>365</v>
      </c>
      <c r="G253" s="31" t="s">
        <v>366</v>
      </c>
      <c r="H253" s="27" t="s">
        <v>373</v>
      </c>
      <c r="I253" s="27" t="s">
        <v>374</v>
      </c>
    </row>
    <row r="254" ht="28" customHeight="1" spans="1:9" x14ac:dyDescent="0.25">
      <c r="A254" s="88" t="s">
        <v>166</v>
      </c>
      <c r="B254" s="31" t="s">
        <v>167</v>
      </c>
      <c r="C254" s="76" t="s">
        <v>375</v>
      </c>
      <c r="D254" s="24" t="s">
        <v>298</v>
      </c>
      <c r="E254" s="24">
        <v>8</v>
      </c>
      <c r="F254" s="24" t="s">
        <v>365</v>
      </c>
      <c r="G254" s="31" t="s">
        <v>366</v>
      </c>
      <c r="H254" s="27" t="s">
        <v>376</v>
      </c>
      <c r="I254" s="27" t="s">
        <v>377</v>
      </c>
    </row>
    <row r="255" ht="28" customHeight="1" spans="1:9" x14ac:dyDescent="0.25">
      <c r="A255" s="88" t="s">
        <v>166</v>
      </c>
      <c r="B255" s="31" t="s">
        <v>167</v>
      </c>
      <c r="C255" s="76" t="s">
        <v>378</v>
      </c>
      <c r="D255" s="24" t="s">
        <v>379</v>
      </c>
      <c r="E255" s="24">
        <v>8</v>
      </c>
      <c r="F255" s="24" t="s">
        <v>365</v>
      </c>
      <c r="G255" s="31" t="s">
        <v>366</v>
      </c>
      <c r="H255" s="27" t="s">
        <v>380</v>
      </c>
      <c r="I255" s="27" t="s">
        <v>381</v>
      </c>
    </row>
    <row r="256" ht="28" customHeight="1" spans="1:9" x14ac:dyDescent="0.25">
      <c r="A256" s="88" t="s">
        <v>166</v>
      </c>
      <c r="B256" s="31" t="s">
        <v>167</v>
      </c>
      <c r="C256" s="76" t="s">
        <v>382</v>
      </c>
      <c r="D256" s="24" t="s">
        <v>302</v>
      </c>
      <c r="E256" s="24">
        <v>9</v>
      </c>
      <c r="F256" s="24" t="s">
        <v>383</v>
      </c>
      <c r="G256" s="31" t="s">
        <v>384</v>
      </c>
      <c r="H256" s="27" t="s">
        <v>385</v>
      </c>
      <c r="I256" s="27" t="s">
        <v>386</v>
      </c>
    </row>
    <row r="257" ht="28" customHeight="1" spans="1:9" x14ac:dyDescent="0.25">
      <c r="A257" s="88" t="s">
        <v>166</v>
      </c>
      <c r="B257" s="31" t="s">
        <v>167</v>
      </c>
      <c r="C257" s="76" t="s">
        <v>387</v>
      </c>
      <c r="D257" s="24" t="s">
        <v>308</v>
      </c>
      <c r="E257" s="24">
        <v>9</v>
      </c>
      <c r="F257" s="24" t="s">
        <v>383</v>
      </c>
      <c r="G257" s="31" t="s">
        <v>384</v>
      </c>
      <c r="H257" s="27" t="s">
        <v>388</v>
      </c>
      <c r="I257" s="27" t="s">
        <v>389</v>
      </c>
    </row>
    <row r="258" ht="28" customHeight="1" spans="1:9" x14ac:dyDescent="0.25">
      <c r="A258" s="88" t="s">
        <v>166</v>
      </c>
      <c r="B258" s="31" t="s">
        <v>167</v>
      </c>
      <c r="C258" s="76" t="s">
        <v>390</v>
      </c>
      <c r="D258" s="24" t="s">
        <v>391</v>
      </c>
      <c r="E258" s="24">
        <v>9</v>
      </c>
      <c r="F258" s="24" t="s">
        <v>383</v>
      </c>
      <c r="G258" s="31" t="s">
        <v>384</v>
      </c>
      <c r="H258" s="27" t="s">
        <v>392</v>
      </c>
      <c r="I258" s="27" t="s">
        <v>393</v>
      </c>
    </row>
    <row r="259" ht="28" customHeight="1" spans="1:9" x14ac:dyDescent="0.25">
      <c r="A259" s="88" t="s">
        <v>166</v>
      </c>
      <c r="B259" s="31" t="s">
        <v>167</v>
      </c>
      <c r="C259" s="76" t="s">
        <v>394</v>
      </c>
      <c r="D259" s="24" t="s">
        <v>312</v>
      </c>
      <c r="E259" s="24">
        <v>10</v>
      </c>
      <c r="F259" s="24" t="s">
        <v>313</v>
      </c>
      <c r="G259" s="31" t="s">
        <v>314</v>
      </c>
      <c r="H259" s="27" t="s">
        <v>395</v>
      </c>
      <c r="I259" s="27" t="s">
        <v>396</v>
      </c>
    </row>
    <row r="260" ht="28" customHeight="1" spans="1:9" x14ac:dyDescent="0.25">
      <c r="A260" s="88" t="s">
        <v>166</v>
      </c>
      <c r="B260" s="31" t="s">
        <v>167</v>
      </c>
      <c r="C260" s="76" t="s">
        <v>397</v>
      </c>
      <c r="D260" s="24" t="s">
        <v>318</v>
      </c>
      <c r="E260" s="24">
        <v>10</v>
      </c>
      <c r="F260" s="24" t="s">
        <v>313</v>
      </c>
      <c r="G260" s="31" t="s">
        <v>314</v>
      </c>
      <c r="H260" s="27" t="s">
        <v>398</v>
      </c>
      <c r="I260" s="27" t="s">
        <v>399</v>
      </c>
    </row>
    <row r="261" ht="28" customHeight="1" spans="1:9" x14ac:dyDescent="0.25">
      <c r="A261" s="89" t="s">
        <v>170</v>
      </c>
      <c r="B261" s="31" t="s">
        <v>171</v>
      </c>
      <c r="C261" s="76" t="s">
        <v>956</v>
      </c>
      <c r="D261" s="24" t="s">
        <v>216</v>
      </c>
      <c r="E261" s="24">
        <v>1</v>
      </c>
      <c r="F261" s="24" t="s">
        <v>524</v>
      </c>
      <c r="G261" s="31" t="s">
        <v>525</v>
      </c>
      <c r="H261" s="27" t="s">
        <v>957</v>
      </c>
      <c r="I261" s="27" t="s">
        <v>825</v>
      </c>
    </row>
    <row r="262" ht="28" customHeight="1" spans="1:9" x14ac:dyDescent="0.25">
      <c r="A262" s="89" t="s">
        <v>170</v>
      </c>
      <c r="B262" s="31" t="s">
        <v>171</v>
      </c>
      <c r="C262" s="76" t="s">
        <v>958</v>
      </c>
      <c r="D262" s="24" t="s">
        <v>222</v>
      </c>
      <c r="E262" s="24">
        <v>1</v>
      </c>
      <c r="F262" s="24" t="s">
        <v>524</v>
      </c>
      <c r="G262" s="31" t="s">
        <v>525</v>
      </c>
      <c r="H262" s="27" t="s">
        <v>959</v>
      </c>
      <c r="I262" s="27" t="s">
        <v>825</v>
      </c>
    </row>
    <row r="263" ht="28" customHeight="1" spans="1:9" x14ac:dyDescent="0.25">
      <c r="A263" s="89" t="s">
        <v>170</v>
      </c>
      <c r="B263" s="31" t="s">
        <v>171</v>
      </c>
      <c r="C263" s="76" t="s">
        <v>960</v>
      </c>
      <c r="D263" s="24" t="s">
        <v>229</v>
      </c>
      <c r="E263" s="24">
        <v>2</v>
      </c>
      <c r="F263" s="24" t="s">
        <v>313</v>
      </c>
      <c r="G263" s="31" t="s">
        <v>314</v>
      </c>
      <c r="H263" s="27" t="s">
        <v>961</v>
      </c>
      <c r="I263" s="27" t="s">
        <v>962</v>
      </c>
    </row>
    <row r="264" ht="28" customHeight="1" spans="1:9" x14ac:dyDescent="0.25">
      <c r="A264" s="89" t="s">
        <v>170</v>
      </c>
      <c r="B264" s="31" t="s">
        <v>171</v>
      </c>
      <c r="C264" s="76" t="s">
        <v>963</v>
      </c>
      <c r="D264" s="24" t="s">
        <v>234</v>
      </c>
      <c r="E264" s="24">
        <v>2</v>
      </c>
      <c r="F264" s="24" t="s">
        <v>313</v>
      </c>
      <c r="G264" s="31" t="s">
        <v>314</v>
      </c>
      <c r="H264" s="27" t="s">
        <v>964</v>
      </c>
      <c r="I264" s="27" t="s">
        <v>962</v>
      </c>
    </row>
    <row r="265" ht="28" customHeight="1" spans="1:9" x14ac:dyDescent="0.25">
      <c r="A265" s="89" t="s">
        <v>170</v>
      </c>
      <c r="B265" s="31" t="s">
        <v>171</v>
      </c>
      <c r="C265" s="76" t="s">
        <v>965</v>
      </c>
      <c r="D265" s="24" t="s">
        <v>238</v>
      </c>
      <c r="E265" s="24">
        <v>3</v>
      </c>
      <c r="F265" s="24" t="s">
        <v>457</v>
      </c>
      <c r="G265" s="31" t="s">
        <v>458</v>
      </c>
      <c r="H265" s="27" t="s">
        <v>966</v>
      </c>
      <c r="I265" s="27" t="s">
        <v>967</v>
      </c>
    </row>
    <row r="266" ht="28" customHeight="1" spans="1:9" x14ac:dyDescent="0.25">
      <c r="A266" s="89" t="s">
        <v>170</v>
      </c>
      <c r="B266" s="31" t="s">
        <v>171</v>
      </c>
      <c r="C266" s="76" t="s">
        <v>968</v>
      </c>
      <c r="D266" s="24" t="s">
        <v>242</v>
      </c>
      <c r="E266" s="24">
        <v>3</v>
      </c>
      <c r="F266" s="24" t="s">
        <v>457</v>
      </c>
      <c r="G266" s="31" t="s">
        <v>458</v>
      </c>
      <c r="H266" s="27" t="s">
        <v>969</v>
      </c>
      <c r="I266" s="27" t="s">
        <v>967</v>
      </c>
    </row>
    <row r="267" ht="28" customHeight="1" spans="1:9" x14ac:dyDescent="0.25">
      <c r="A267" s="89" t="s">
        <v>170</v>
      </c>
      <c r="B267" s="31" t="s">
        <v>171</v>
      </c>
      <c r="C267" s="76" t="s">
        <v>970</v>
      </c>
      <c r="D267" s="24" t="s">
        <v>250</v>
      </c>
      <c r="E267" s="24">
        <v>4</v>
      </c>
      <c r="F267" s="24" t="s">
        <v>676</v>
      </c>
      <c r="G267" s="31" t="s">
        <v>677</v>
      </c>
      <c r="H267" s="27" t="s">
        <v>971</v>
      </c>
      <c r="I267" s="27" t="s">
        <v>972</v>
      </c>
    </row>
    <row r="268" ht="28" customHeight="1" spans="1:9" x14ac:dyDescent="0.25">
      <c r="A268" s="89" t="s">
        <v>170</v>
      </c>
      <c r="B268" s="31" t="s">
        <v>171</v>
      </c>
      <c r="C268" s="76" t="s">
        <v>973</v>
      </c>
      <c r="D268" s="24" t="s">
        <v>256</v>
      </c>
      <c r="E268" s="24">
        <v>4</v>
      </c>
      <c r="F268" s="24" t="s">
        <v>676</v>
      </c>
      <c r="G268" s="31" t="s">
        <v>677</v>
      </c>
      <c r="H268" s="27" t="s">
        <v>974</v>
      </c>
      <c r="I268" s="27" t="s">
        <v>972</v>
      </c>
    </row>
    <row r="269" ht="28" customHeight="1" spans="1:9" x14ac:dyDescent="0.25">
      <c r="A269" s="89" t="s">
        <v>170</v>
      </c>
      <c r="B269" s="31" t="s">
        <v>171</v>
      </c>
      <c r="C269" s="76" t="s">
        <v>975</v>
      </c>
      <c r="D269" s="24" t="s">
        <v>260</v>
      </c>
      <c r="E269" s="24">
        <v>5</v>
      </c>
      <c r="F269" s="24" t="s">
        <v>976</v>
      </c>
      <c r="G269" s="31" t="s">
        <v>977</v>
      </c>
      <c r="H269" s="27" t="s">
        <v>978</v>
      </c>
      <c r="I269" s="27" t="s">
        <v>979</v>
      </c>
    </row>
    <row r="270" ht="28" customHeight="1" spans="1:9" x14ac:dyDescent="0.25">
      <c r="A270" s="89" t="s">
        <v>170</v>
      </c>
      <c r="B270" s="31" t="s">
        <v>171</v>
      </c>
      <c r="C270" s="76" t="s">
        <v>980</v>
      </c>
      <c r="D270" s="24" t="s">
        <v>266</v>
      </c>
      <c r="E270" s="24">
        <v>5</v>
      </c>
      <c r="F270" s="24" t="s">
        <v>976</v>
      </c>
      <c r="G270" s="31" t="s">
        <v>977</v>
      </c>
      <c r="H270" s="27" t="s">
        <v>981</v>
      </c>
      <c r="I270" s="27" t="s">
        <v>979</v>
      </c>
    </row>
    <row r="271" ht="28" customHeight="1" spans="1:9" x14ac:dyDescent="0.25">
      <c r="A271" s="89" t="s">
        <v>170</v>
      </c>
      <c r="B271" s="31" t="s">
        <v>171</v>
      </c>
      <c r="C271" s="76" t="s">
        <v>982</v>
      </c>
      <c r="D271" s="24" t="s">
        <v>270</v>
      </c>
      <c r="E271" s="24">
        <v>6</v>
      </c>
      <c r="F271" s="24" t="s">
        <v>855</v>
      </c>
      <c r="G271" s="31" t="s">
        <v>856</v>
      </c>
      <c r="H271" s="27" t="s">
        <v>983</v>
      </c>
      <c r="I271" s="27" t="s">
        <v>984</v>
      </c>
    </row>
    <row r="272" ht="28" customHeight="1" spans="1:9" x14ac:dyDescent="0.25">
      <c r="A272" s="89" t="s">
        <v>170</v>
      </c>
      <c r="B272" s="31" t="s">
        <v>171</v>
      </c>
      <c r="C272" s="76" t="s">
        <v>985</v>
      </c>
      <c r="D272" s="24" t="s">
        <v>274</v>
      </c>
      <c r="E272" s="24">
        <v>6</v>
      </c>
      <c r="F272" s="24" t="s">
        <v>855</v>
      </c>
      <c r="G272" s="31" t="s">
        <v>856</v>
      </c>
      <c r="H272" s="27" t="s">
        <v>986</v>
      </c>
      <c r="I272" s="27" t="s">
        <v>984</v>
      </c>
    </row>
    <row r="273" ht="28" customHeight="1" spans="1:9" x14ac:dyDescent="0.25">
      <c r="A273" s="90" t="s">
        <v>174</v>
      </c>
      <c r="B273" s="31" t="s">
        <v>175</v>
      </c>
      <c r="C273" s="76" t="s">
        <v>987</v>
      </c>
      <c r="D273" s="24" t="s">
        <v>216</v>
      </c>
      <c r="E273" s="24">
        <v>1</v>
      </c>
      <c r="F273" s="24" t="s">
        <v>855</v>
      </c>
      <c r="G273" s="31" t="s">
        <v>856</v>
      </c>
      <c r="H273" s="27" t="s">
        <v>988</v>
      </c>
      <c r="I273" s="27" t="s">
        <v>825</v>
      </c>
    </row>
    <row r="274" ht="28" customHeight="1" spans="1:9" x14ac:dyDescent="0.25">
      <c r="A274" s="90" t="s">
        <v>174</v>
      </c>
      <c r="B274" s="31" t="s">
        <v>175</v>
      </c>
      <c r="C274" s="76" t="s">
        <v>989</v>
      </c>
      <c r="D274" s="24" t="s">
        <v>222</v>
      </c>
      <c r="E274" s="24">
        <v>1</v>
      </c>
      <c r="F274" s="24" t="s">
        <v>855</v>
      </c>
      <c r="G274" s="31" t="s">
        <v>856</v>
      </c>
      <c r="H274" s="27" t="s">
        <v>990</v>
      </c>
      <c r="I274" s="27" t="s">
        <v>825</v>
      </c>
    </row>
    <row r="275" ht="28" customHeight="1" spans="1:9" x14ac:dyDescent="0.25">
      <c r="A275" s="90" t="s">
        <v>174</v>
      </c>
      <c r="B275" s="31" t="s">
        <v>175</v>
      </c>
      <c r="C275" s="76" t="s">
        <v>991</v>
      </c>
      <c r="D275" s="24" t="s">
        <v>225</v>
      </c>
      <c r="E275" s="24">
        <v>1</v>
      </c>
      <c r="F275" s="24" t="s">
        <v>855</v>
      </c>
      <c r="G275" s="31" t="s">
        <v>856</v>
      </c>
      <c r="H275" s="27" t="s">
        <v>992</v>
      </c>
      <c r="I275" s="27" t="s">
        <v>825</v>
      </c>
    </row>
    <row r="276" ht="28" customHeight="1" spans="1:9" x14ac:dyDescent="0.25">
      <c r="A276" s="90" t="s">
        <v>174</v>
      </c>
      <c r="B276" s="31" t="s">
        <v>175</v>
      </c>
      <c r="C276" s="76" t="s">
        <v>993</v>
      </c>
      <c r="D276" s="24" t="s">
        <v>229</v>
      </c>
      <c r="E276" s="24">
        <v>2</v>
      </c>
      <c r="F276" s="24" t="s">
        <v>976</v>
      </c>
      <c r="G276" s="31" t="s">
        <v>977</v>
      </c>
      <c r="H276" s="27" t="s">
        <v>994</v>
      </c>
      <c r="I276" s="27" t="s">
        <v>995</v>
      </c>
    </row>
    <row r="277" ht="28" customHeight="1" spans="1:9" x14ac:dyDescent="0.25">
      <c r="A277" s="90" t="s">
        <v>174</v>
      </c>
      <c r="B277" s="31" t="s">
        <v>175</v>
      </c>
      <c r="C277" s="76" t="s">
        <v>996</v>
      </c>
      <c r="D277" s="24" t="s">
        <v>234</v>
      </c>
      <c r="E277" s="24">
        <v>2</v>
      </c>
      <c r="F277" s="24" t="s">
        <v>976</v>
      </c>
      <c r="G277" s="31" t="s">
        <v>977</v>
      </c>
      <c r="H277" s="27" t="s">
        <v>997</v>
      </c>
      <c r="I277" s="27" t="s">
        <v>995</v>
      </c>
    </row>
    <row r="278" ht="28" customHeight="1" spans="1:9" x14ac:dyDescent="0.25">
      <c r="A278" s="90" t="s">
        <v>174</v>
      </c>
      <c r="B278" s="31" t="s">
        <v>175</v>
      </c>
      <c r="C278" s="76" t="s">
        <v>998</v>
      </c>
      <c r="D278" s="24" t="s">
        <v>416</v>
      </c>
      <c r="E278" s="24">
        <v>2</v>
      </c>
      <c r="F278" s="24" t="s">
        <v>976</v>
      </c>
      <c r="G278" s="31" t="s">
        <v>977</v>
      </c>
      <c r="H278" s="27" t="s">
        <v>999</v>
      </c>
      <c r="I278" s="27" t="s">
        <v>995</v>
      </c>
    </row>
    <row r="279" ht="28" customHeight="1" spans="1:9" x14ac:dyDescent="0.25">
      <c r="A279" s="90" t="s">
        <v>174</v>
      </c>
      <c r="B279" s="31" t="s">
        <v>175</v>
      </c>
      <c r="C279" s="76" t="s">
        <v>1000</v>
      </c>
      <c r="D279" s="24" t="s">
        <v>238</v>
      </c>
      <c r="E279" s="24">
        <v>3</v>
      </c>
      <c r="F279" s="24" t="s">
        <v>524</v>
      </c>
      <c r="G279" s="31" t="s">
        <v>525</v>
      </c>
      <c r="H279" s="27" t="s">
        <v>1001</v>
      </c>
      <c r="I279" s="27" t="s">
        <v>1002</v>
      </c>
    </row>
    <row r="280" ht="28" customHeight="1" spans="1:9" x14ac:dyDescent="0.25">
      <c r="A280" s="90" t="s">
        <v>174</v>
      </c>
      <c r="B280" s="31" t="s">
        <v>175</v>
      </c>
      <c r="C280" s="76" t="s">
        <v>1003</v>
      </c>
      <c r="D280" s="24" t="s">
        <v>242</v>
      </c>
      <c r="E280" s="24">
        <v>3</v>
      </c>
      <c r="F280" s="24" t="s">
        <v>524</v>
      </c>
      <c r="G280" s="31" t="s">
        <v>525</v>
      </c>
      <c r="H280" s="27" t="s">
        <v>1004</v>
      </c>
      <c r="I280" s="27" t="s">
        <v>1002</v>
      </c>
    </row>
    <row r="281" ht="28" customHeight="1" spans="1:9" x14ac:dyDescent="0.25">
      <c r="A281" s="90" t="s">
        <v>174</v>
      </c>
      <c r="B281" s="31" t="s">
        <v>175</v>
      </c>
      <c r="C281" s="76" t="s">
        <v>1005</v>
      </c>
      <c r="D281" s="24" t="s">
        <v>246</v>
      </c>
      <c r="E281" s="24">
        <v>3</v>
      </c>
      <c r="F281" s="24" t="s">
        <v>524</v>
      </c>
      <c r="G281" s="31" t="s">
        <v>525</v>
      </c>
      <c r="H281" s="27" t="s">
        <v>1006</v>
      </c>
      <c r="I281" s="27" t="s">
        <v>1002</v>
      </c>
    </row>
    <row r="282" ht="28" customHeight="1" spans="1:9" x14ac:dyDescent="0.25">
      <c r="A282" s="90" t="s">
        <v>174</v>
      </c>
      <c r="B282" s="31" t="s">
        <v>175</v>
      </c>
      <c r="C282" s="76" t="s">
        <v>1007</v>
      </c>
      <c r="D282" s="24" t="s">
        <v>250</v>
      </c>
      <c r="E282" s="24">
        <v>4</v>
      </c>
      <c r="F282" s="24" t="s">
        <v>457</v>
      </c>
      <c r="G282" s="31" t="s">
        <v>458</v>
      </c>
      <c r="H282" s="27" t="s">
        <v>1008</v>
      </c>
      <c r="I282" s="27" t="s">
        <v>1009</v>
      </c>
    </row>
    <row r="283" ht="28" customHeight="1" spans="1:9" x14ac:dyDescent="0.25">
      <c r="A283" s="90" t="s">
        <v>174</v>
      </c>
      <c r="B283" s="31" t="s">
        <v>175</v>
      </c>
      <c r="C283" s="76" t="s">
        <v>1010</v>
      </c>
      <c r="D283" s="24" t="s">
        <v>256</v>
      </c>
      <c r="E283" s="24">
        <v>4</v>
      </c>
      <c r="F283" s="24" t="s">
        <v>457</v>
      </c>
      <c r="G283" s="31" t="s">
        <v>458</v>
      </c>
      <c r="H283" s="27" t="s">
        <v>1011</v>
      </c>
      <c r="I283" s="27" t="s">
        <v>1009</v>
      </c>
    </row>
    <row r="284" ht="28" customHeight="1" spans="1:9" x14ac:dyDescent="0.25">
      <c r="A284" s="90" t="s">
        <v>174</v>
      </c>
      <c r="B284" s="31" t="s">
        <v>175</v>
      </c>
      <c r="C284" s="76" t="s">
        <v>1012</v>
      </c>
      <c r="D284" s="24" t="s">
        <v>498</v>
      </c>
      <c r="E284" s="24">
        <v>4</v>
      </c>
      <c r="F284" s="24" t="s">
        <v>457</v>
      </c>
      <c r="G284" s="31" t="s">
        <v>458</v>
      </c>
      <c r="H284" s="27" t="s">
        <v>1013</v>
      </c>
      <c r="I284" s="27" t="s">
        <v>1009</v>
      </c>
    </row>
    <row r="285" ht="28" customHeight="1" spans="1:9" x14ac:dyDescent="0.25">
      <c r="A285" s="90" t="s">
        <v>174</v>
      </c>
      <c r="B285" s="31" t="s">
        <v>175</v>
      </c>
      <c r="C285" s="76" t="s">
        <v>1014</v>
      </c>
      <c r="D285" s="24" t="s">
        <v>260</v>
      </c>
      <c r="E285" s="24">
        <v>5</v>
      </c>
      <c r="F285" s="24" t="s">
        <v>472</v>
      </c>
      <c r="G285" s="31" t="s">
        <v>473</v>
      </c>
      <c r="H285" s="27" t="s">
        <v>1015</v>
      </c>
      <c r="I285" s="27" t="s">
        <v>662</v>
      </c>
    </row>
    <row r="286" ht="28" customHeight="1" spans="1:9" x14ac:dyDescent="0.25">
      <c r="A286" s="90" t="s">
        <v>174</v>
      </c>
      <c r="B286" s="31" t="s">
        <v>175</v>
      </c>
      <c r="C286" s="76" t="s">
        <v>1016</v>
      </c>
      <c r="D286" s="24" t="s">
        <v>266</v>
      </c>
      <c r="E286" s="24">
        <v>5</v>
      </c>
      <c r="F286" s="24" t="s">
        <v>472</v>
      </c>
      <c r="G286" s="31" t="s">
        <v>473</v>
      </c>
      <c r="H286" s="27" t="s">
        <v>1017</v>
      </c>
      <c r="I286" s="27" t="s">
        <v>662</v>
      </c>
    </row>
    <row r="287" ht="28" customHeight="1" spans="1:9" x14ac:dyDescent="0.25">
      <c r="A287" s="90" t="s">
        <v>174</v>
      </c>
      <c r="B287" s="31" t="s">
        <v>175</v>
      </c>
      <c r="C287" s="76" t="s">
        <v>1018</v>
      </c>
      <c r="D287" s="24" t="s">
        <v>270</v>
      </c>
      <c r="E287" s="24">
        <v>6</v>
      </c>
      <c r="F287" s="24" t="s">
        <v>472</v>
      </c>
      <c r="G287" s="31" t="s">
        <v>473</v>
      </c>
      <c r="H287" s="27" t="s">
        <v>1019</v>
      </c>
      <c r="I287" s="27" t="s">
        <v>1020</v>
      </c>
    </row>
    <row r="288" ht="28" customHeight="1" spans="1:9" x14ac:dyDescent="0.25">
      <c r="A288" s="90" t="s">
        <v>174</v>
      </c>
      <c r="B288" s="31" t="s">
        <v>175</v>
      </c>
      <c r="C288" s="76" t="s">
        <v>1021</v>
      </c>
      <c r="D288" s="24" t="s">
        <v>274</v>
      </c>
      <c r="E288" s="24">
        <v>6</v>
      </c>
      <c r="F288" s="24" t="s">
        <v>472</v>
      </c>
      <c r="G288" s="31" t="s">
        <v>473</v>
      </c>
      <c r="H288" s="27" t="s">
        <v>1022</v>
      </c>
      <c r="I288" s="27" t="s">
        <v>1020</v>
      </c>
    </row>
    <row r="289" ht="28" customHeight="1" spans="1:9" x14ac:dyDescent="0.25">
      <c r="A289" s="91" t="s">
        <v>178</v>
      </c>
      <c r="B289" s="31" t="s">
        <v>179</v>
      </c>
      <c r="C289" s="76" t="s">
        <v>1023</v>
      </c>
      <c r="D289" s="24" t="s">
        <v>216</v>
      </c>
      <c r="E289" s="24">
        <v>1</v>
      </c>
      <c r="F289" s="24" t="s">
        <v>322</v>
      </c>
      <c r="G289" s="31" t="s">
        <v>323</v>
      </c>
      <c r="H289" s="27" t="s">
        <v>1024</v>
      </c>
      <c r="I289" s="27" t="s">
        <v>908</v>
      </c>
    </row>
    <row r="290" ht="28" customHeight="1" spans="1:9" x14ac:dyDescent="0.25">
      <c r="A290" s="91" t="s">
        <v>178</v>
      </c>
      <c r="B290" s="31" t="s">
        <v>179</v>
      </c>
      <c r="C290" s="76" t="s">
        <v>1025</v>
      </c>
      <c r="D290" s="24" t="s">
        <v>222</v>
      </c>
      <c r="E290" s="24">
        <v>1</v>
      </c>
      <c r="F290" s="24" t="s">
        <v>322</v>
      </c>
      <c r="G290" s="31" t="s">
        <v>323</v>
      </c>
      <c r="H290" s="27" t="s">
        <v>1026</v>
      </c>
      <c r="I290" s="27" t="s">
        <v>908</v>
      </c>
    </row>
    <row r="291" ht="28" customHeight="1" spans="1:9" x14ac:dyDescent="0.25">
      <c r="A291" s="91" t="s">
        <v>178</v>
      </c>
      <c r="B291" s="31" t="s">
        <v>179</v>
      </c>
      <c r="C291" s="76" t="s">
        <v>1027</v>
      </c>
      <c r="D291" s="24" t="s">
        <v>225</v>
      </c>
      <c r="E291" s="24">
        <v>1</v>
      </c>
      <c r="F291" s="24" t="s">
        <v>322</v>
      </c>
      <c r="G291" s="31" t="s">
        <v>323</v>
      </c>
      <c r="H291" s="27" t="s">
        <v>1028</v>
      </c>
      <c r="I291" s="27" t="s">
        <v>908</v>
      </c>
    </row>
    <row r="292" ht="28" customHeight="1" spans="1:9" x14ac:dyDescent="0.25">
      <c r="A292" s="91" t="s">
        <v>178</v>
      </c>
      <c r="B292" s="31" t="s">
        <v>179</v>
      </c>
      <c r="C292" s="76" t="s">
        <v>1029</v>
      </c>
      <c r="D292" s="24" t="s">
        <v>629</v>
      </c>
      <c r="E292" s="24">
        <v>1</v>
      </c>
      <c r="F292" s="24" t="s">
        <v>322</v>
      </c>
      <c r="G292" s="31" t="s">
        <v>323</v>
      </c>
      <c r="H292" s="27" t="s">
        <v>1030</v>
      </c>
      <c r="I292" s="27" t="s">
        <v>908</v>
      </c>
    </row>
    <row r="293" ht="28" customHeight="1" spans="1:9" x14ac:dyDescent="0.25">
      <c r="A293" s="91" t="s">
        <v>178</v>
      </c>
      <c r="B293" s="31" t="s">
        <v>179</v>
      </c>
      <c r="C293" s="76" t="s">
        <v>1031</v>
      </c>
      <c r="D293" s="24" t="s">
        <v>229</v>
      </c>
      <c r="E293" s="24">
        <v>2</v>
      </c>
      <c r="F293" s="24" t="s">
        <v>855</v>
      </c>
      <c r="G293" s="31" t="s">
        <v>856</v>
      </c>
      <c r="H293" s="27" t="s">
        <v>1032</v>
      </c>
      <c r="I293" s="27" t="s">
        <v>1033</v>
      </c>
    </row>
    <row r="294" ht="28" customHeight="1" spans="1:9" x14ac:dyDescent="0.25">
      <c r="A294" s="91" t="s">
        <v>178</v>
      </c>
      <c r="B294" s="31" t="s">
        <v>179</v>
      </c>
      <c r="C294" s="76" t="s">
        <v>1034</v>
      </c>
      <c r="D294" s="24" t="s">
        <v>234</v>
      </c>
      <c r="E294" s="24">
        <v>2</v>
      </c>
      <c r="F294" s="24" t="s">
        <v>855</v>
      </c>
      <c r="G294" s="31" t="s">
        <v>856</v>
      </c>
      <c r="H294" s="27" t="s">
        <v>1035</v>
      </c>
      <c r="I294" s="27" t="s">
        <v>1033</v>
      </c>
    </row>
    <row r="295" ht="28" customHeight="1" spans="1:9" x14ac:dyDescent="0.25">
      <c r="A295" s="91" t="s">
        <v>178</v>
      </c>
      <c r="B295" s="31" t="s">
        <v>179</v>
      </c>
      <c r="C295" s="76" t="s">
        <v>1036</v>
      </c>
      <c r="D295" s="24" t="s">
        <v>416</v>
      </c>
      <c r="E295" s="24">
        <v>2</v>
      </c>
      <c r="F295" s="24" t="s">
        <v>855</v>
      </c>
      <c r="G295" s="31" t="s">
        <v>856</v>
      </c>
      <c r="H295" s="27" t="s">
        <v>1037</v>
      </c>
      <c r="I295" s="27" t="s">
        <v>1033</v>
      </c>
    </row>
    <row r="296" ht="28" customHeight="1" spans="1:9" x14ac:dyDescent="0.25">
      <c r="A296" s="91" t="s">
        <v>178</v>
      </c>
      <c r="B296" s="31" t="s">
        <v>179</v>
      </c>
      <c r="C296" s="76" t="s">
        <v>1038</v>
      </c>
      <c r="D296" s="24" t="s">
        <v>468</v>
      </c>
      <c r="E296" s="24">
        <v>2</v>
      </c>
      <c r="F296" s="24" t="s">
        <v>855</v>
      </c>
      <c r="G296" s="31" t="s">
        <v>856</v>
      </c>
      <c r="H296" s="27" t="s">
        <v>1039</v>
      </c>
      <c r="I296" s="27" t="s">
        <v>1033</v>
      </c>
    </row>
    <row r="297" ht="28" customHeight="1" spans="1:9" x14ac:dyDescent="0.25">
      <c r="A297" s="91" t="s">
        <v>178</v>
      </c>
      <c r="B297" s="31" t="s">
        <v>179</v>
      </c>
      <c r="C297" s="76" t="s">
        <v>1040</v>
      </c>
      <c r="D297" s="24" t="s">
        <v>921</v>
      </c>
      <c r="E297" s="24">
        <v>2</v>
      </c>
      <c r="F297" s="24" t="s">
        <v>855</v>
      </c>
      <c r="G297" s="31" t="s">
        <v>856</v>
      </c>
      <c r="H297" s="27" t="s">
        <v>1041</v>
      </c>
      <c r="I297" s="27" t="s">
        <v>1033</v>
      </c>
    </row>
    <row r="298" ht="28" customHeight="1" spans="1:9" x14ac:dyDescent="0.25">
      <c r="A298" s="91" t="s">
        <v>178</v>
      </c>
      <c r="B298" s="31" t="s">
        <v>179</v>
      </c>
      <c r="C298" s="76" t="s">
        <v>1042</v>
      </c>
      <c r="D298" s="24" t="s">
        <v>925</v>
      </c>
      <c r="E298" s="24">
        <v>2</v>
      </c>
      <c r="F298" s="24" t="s">
        <v>855</v>
      </c>
      <c r="G298" s="31" t="s">
        <v>856</v>
      </c>
      <c r="H298" s="27" t="s">
        <v>1043</v>
      </c>
      <c r="I298" s="27" t="s">
        <v>1033</v>
      </c>
    </row>
    <row r="299" ht="28" customHeight="1" spans="1:9" x14ac:dyDescent="0.25">
      <c r="A299" s="91" t="s">
        <v>178</v>
      </c>
      <c r="B299" s="31" t="s">
        <v>179</v>
      </c>
      <c r="C299" s="76" t="s">
        <v>1044</v>
      </c>
      <c r="D299" s="24" t="s">
        <v>238</v>
      </c>
      <c r="E299" s="24">
        <v>3</v>
      </c>
      <c r="F299" s="24" t="s">
        <v>472</v>
      </c>
      <c r="G299" s="31" t="s">
        <v>473</v>
      </c>
      <c r="H299" s="27" t="s">
        <v>1045</v>
      </c>
      <c r="I299" s="27" t="s">
        <v>1046</v>
      </c>
    </row>
    <row r="300" ht="28" customHeight="1" spans="1:9" x14ac:dyDescent="0.25">
      <c r="A300" s="91" t="s">
        <v>178</v>
      </c>
      <c r="B300" s="31" t="s">
        <v>179</v>
      </c>
      <c r="C300" s="76" t="s">
        <v>1047</v>
      </c>
      <c r="D300" s="24" t="s">
        <v>242</v>
      </c>
      <c r="E300" s="24">
        <v>3</v>
      </c>
      <c r="F300" s="24" t="s">
        <v>472</v>
      </c>
      <c r="G300" s="31" t="s">
        <v>473</v>
      </c>
      <c r="H300" s="27" t="s">
        <v>1048</v>
      </c>
      <c r="I300" s="27" t="s">
        <v>1046</v>
      </c>
    </row>
    <row r="301" ht="28" customHeight="1" spans="1:9" x14ac:dyDescent="0.25">
      <c r="A301" s="91" t="s">
        <v>178</v>
      </c>
      <c r="B301" s="31" t="s">
        <v>179</v>
      </c>
      <c r="C301" s="76" t="s">
        <v>1049</v>
      </c>
      <c r="D301" s="24" t="s">
        <v>246</v>
      </c>
      <c r="E301" s="24">
        <v>3</v>
      </c>
      <c r="F301" s="24" t="s">
        <v>472</v>
      </c>
      <c r="G301" s="31" t="s">
        <v>473</v>
      </c>
      <c r="H301" s="27" t="s">
        <v>1050</v>
      </c>
      <c r="I301" s="27" t="s">
        <v>1046</v>
      </c>
    </row>
    <row r="302" ht="28" customHeight="1" spans="1:9" x14ac:dyDescent="0.25">
      <c r="A302" s="91" t="s">
        <v>178</v>
      </c>
      <c r="B302" s="31" t="s">
        <v>179</v>
      </c>
      <c r="C302" s="76" t="s">
        <v>1051</v>
      </c>
      <c r="D302" s="24" t="s">
        <v>482</v>
      </c>
      <c r="E302" s="24">
        <v>3</v>
      </c>
      <c r="F302" s="24" t="s">
        <v>472</v>
      </c>
      <c r="G302" s="31" t="s">
        <v>473</v>
      </c>
      <c r="H302" s="27" t="s">
        <v>1052</v>
      </c>
      <c r="I302" s="27" t="s">
        <v>1046</v>
      </c>
    </row>
  </sheetData>
  <autoFilter ref="A2:I2"/>
  <mergeCells count="1">
    <mergeCell ref="A1:I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28D9"/>
  </sheetPr>
  <dimension ref="A1:I18"/>
  <sheetViews>
    <sheetView workbookViewId="0">
      <pane ySplit="2" topLeftCell="A3" activePane="bottomLeft" state="frozen"/>
      <selection pane="bottomLeft"/>
    </sheetView>
  </sheetViews>
  <sheetFormatPr defaultRowHeight="15" outlineLevelRow="0" outlineLevelCol="0" x14ac:dyDescent="55"/>
  <cols>
    <col min="1" max="1" width="10" customWidth="1"/>
    <col min="2" max="2" width="30" customWidth="1"/>
    <col min="3" max="3" width="6" customWidth="1"/>
    <col min="4" max="4" width="20" customWidth="1"/>
    <col min="5" max="5" width="11" customWidth="1"/>
    <col min="6" max="6" width="13" customWidth="1"/>
    <col min="7" max="7" width="10" customWidth="1"/>
    <col min="8" max="8" width="11" customWidth="1"/>
    <col min="9" max="9" width="44" customWidth="1"/>
  </cols>
  <sheetData>
    <row r="1" spans="1:9" x14ac:dyDescent="0.25">
      <c r="A1" s="21" t="s">
        <v>1053</v>
      </c>
      <c r="B1" s="21"/>
      <c r="C1" s="21"/>
      <c r="D1" s="21"/>
      <c r="E1" s="21"/>
      <c r="F1" s="21"/>
      <c r="G1" s="21"/>
      <c r="H1" s="21"/>
      <c r="I1" s="21"/>
    </row>
    <row r="2" ht="26" customHeight="1" spans="1:9" x14ac:dyDescent="0.25">
      <c r="A2" s="92" t="s">
        <v>209</v>
      </c>
      <c r="B2" s="92" t="s">
        <v>106</v>
      </c>
      <c r="C2" s="92" t="s">
        <v>1054</v>
      </c>
      <c r="D2" s="92" t="s">
        <v>1055</v>
      </c>
      <c r="E2" s="92" t="s">
        <v>1056</v>
      </c>
      <c r="F2" s="92" t="s">
        <v>1057</v>
      </c>
      <c r="G2" s="92" t="s">
        <v>191</v>
      </c>
      <c r="H2" s="92" t="s">
        <v>1058</v>
      </c>
      <c r="I2" s="92" t="s">
        <v>1059</v>
      </c>
    </row>
    <row r="3" spans="1:9" x14ac:dyDescent="0.25">
      <c r="A3" s="93" t="s">
        <v>1060</v>
      </c>
      <c r="B3" s="24" t="s">
        <v>114</v>
      </c>
      <c r="C3" s="31" t="s">
        <v>115</v>
      </c>
      <c r="D3" s="24" t="s">
        <v>1061</v>
      </c>
      <c r="E3" s="24">
        <v>23</v>
      </c>
      <c r="F3" s="24">
        <v>10</v>
      </c>
      <c r="G3" s="24">
        <v>53</v>
      </c>
      <c r="H3" s="24" t="s">
        <v>1062</v>
      </c>
      <c r="I3" s="27" t="s">
        <v>1063</v>
      </c>
    </row>
    <row r="4" spans="1:9" x14ac:dyDescent="0.25">
      <c r="A4" s="94" t="s">
        <v>1064</v>
      </c>
      <c r="B4" s="24" t="s">
        <v>122</v>
      </c>
      <c r="C4" s="31" t="s">
        <v>123</v>
      </c>
      <c r="D4" s="24" t="s">
        <v>1061</v>
      </c>
      <c r="E4" s="24">
        <v>22</v>
      </c>
      <c r="F4" s="24">
        <v>10</v>
      </c>
      <c r="G4" s="24">
        <v>38</v>
      </c>
      <c r="H4" s="24" t="s">
        <v>1065</v>
      </c>
      <c r="I4" s="27" t="s">
        <v>1066</v>
      </c>
    </row>
    <row r="5" spans="1:9" x14ac:dyDescent="0.25">
      <c r="A5" s="95" t="s">
        <v>1067</v>
      </c>
      <c r="B5" s="24" t="s">
        <v>126</v>
      </c>
      <c r="C5" s="31" t="s">
        <v>127</v>
      </c>
      <c r="D5" s="24" t="s">
        <v>1061</v>
      </c>
      <c r="E5" s="24">
        <v>16</v>
      </c>
      <c r="F5" s="24">
        <v>6</v>
      </c>
      <c r="G5" s="24">
        <v>23</v>
      </c>
      <c r="H5" s="24" t="s">
        <v>1068</v>
      </c>
      <c r="I5" s="27" t="s">
        <v>1069</v>
      </c>
    </row>
    <row r="6" spans="1:9" x14ac:dyDescent="0.25">
      <c r="A6" s="96" t="s">
        <v>1070</v>
      </c>
      <c r="B6" s="24" t="s">
        <v>130</v>
      </c>
      <c r="C6" s="31" t="s">
        <v>131</v>
      </c>
      <c r="D6" s="24" t="s">
        <v>1061</v>
      </c>
      <c r="E6" s="24">
        <v>30</v>
      </c>
      <c r="F6" s="24">
        <v>9</v>
      </c>
      <c r="G6" s="24">
        <v>32</v>
      </c>
      <c r="H6" s="24" t="s">
        <v>1071</v>
      </c>
      <c r="I6" s="27" t="s">
        <v>1072</v>
      </c>
    </row>
    <row r="7" spans="1:9" x14ac:dyDescent="0.25">
      <c r="A7" s="97" t="s">
        <v>1073</v>
      </c>
      <c r="B7" s="24" t="s">
        <v>134</v>
      </c>
      <c r="C7" s="31" t="s">
        <v>135</v>
      </c>
      <c r="D7" s="24" t="s">
        <v>1061</v>
      </c>
      <c r="E7" s="24">
        <v>19</v>
      </c>
      <c r="F7" s="24">
        <v>6</v>
      </c>
      <c r="G7" s="24">
        <v>34</v>
      </c>
      <c r="H7" s="24" t="s">
        <v>1074</v>
      </c>
      <c r="I7" s="27" t="s">
        <v>1075</v>
      </c>
    </row>
    <row r="8" spans="1:9" x14ac:dyDescent="0.25">
      <c r="A8" s="98" t="s">
        <v>1076</v>
      </c>
      <c r="B8" s="24" t="s">
        <v>138</v>
      </c>
      <c r="C8" s="31" t="s">
        <v>139</v>
      </c>
      <c r="D8" s="24" t="s">
        <v>1061</v>
      </c>
      <c r="E8" s="24">
        <v>17</v>
      </c>
      <c r="F8" s="24">
        <v>5</v>
      </c>
      <c r="G8" s="24">
        <v>49</v>
      </c>
      <c r="H8" s="24" t="s">
        <v>1077</v>
      </c>
      <c r="I8" s="27" t="s">
        <v>1078</v>
      </c>
    </row>
    <row r="9" spans="1:9" x14ac:dyDescent="0.25">
      <c r="A9" s="99" t="s">
        <v>1079</v>
      </c>
      <c r="B9" s="24" t="s">
        <v>142</v>
      </c>
      <c r="C9" s="31" t="s">
        <v>143</v>
      </c>
      <c r="D9" s="24" t="s">
        <v>1061</v>
      </c>
      <c r="E9" s="24">
        <v>22</v>
      </c>
      <c r="F9" s="24">
        <v>8</v>
      </c>
      <c r="G9" s="24">
        <v>13</v>
      </c>
      <c r="H9" s="24" t="s">
        <v>1080</v>
      </c>
      <c r="I9" s="27" t="s">
        <v>1081</v>
      </c>
    </row>
    <row r="10" spans="1:9" x14ac:dyDescent="0.25">
      <c r="A10" s="100" t="s">
        <v>1082</v>
      </c>
      <c r="B10" s="24" t="s">
        <v>146</v>
      </c>
      <c r="C10" s="31" t="s">
        <v>147</v>
      </c>
      <c r="D10" s="24" t="s">
        <v>1061</v>
      </c>
      <c r="E10" s="24">
        <v>10</v>
      </c>
      <c r="F10" s="24">
        <v>4</v>
      </c>
      <c r="G10" s="24">
        <v>21</v>
      </c>
      <c r="H10" s="24" t="s">
        <v>1083</v>
      </c>
      <c r="I10" s="27" t="s">
        <v>1084</v>
      </c>
    </row>
    <row r="11" spans="1:9" x14ac:dyDescent="0.25">
      <c r="A11" s="101" t="s">
        <v>1085</v>
      </c>
      <c r="B11" s="24" t="s">
        <v>150</v>
      </c>
      <c r="C11" s="31" t="s">
        <v>151</v>
      </c>
      <c r="D11" s="24" t="s">
        <v>1086</v>
      </c>
      <c r="E11" s="24">
        <v>15</v>
      </c>
      <c r="F11" s="24">
        <v>6</v>
      </c>
      <c r="G11" s="24">
        <v>41</v>
      </c>
      <c r="H11" s="24" t="s">
        <v>1087</v>
      </c>
      <c r="I11" s="27" t="s">
        <v>1088</v>
      </c>
    </row>
    <row r="12" spans="1:9" x14ac:dyDescent="0.25">
      <c r="A12" s="102" t="s">
        <v>1089</v>
      </c>
      <c r="B12" s="24" t="s">
        <v>154</v>
      </c>
      <c r="C12" s="31" t="s">
        <v>155</v>
      </c>
      <c r="D12" s="24" t="s">
        <v>1086</v>
      </c>
      <c r="E12" s="24">
        <v>26</v>
      </c>
      <c r="F12" s="24">
        <v>6</v>
      </c>
      <c r="G12" s="24">
        <v>35</v>
      </c>
      <c r="H12" s="24" t="s">
        <v>1090</v>
      </c>
      <c r="I12" s="27" t="s">
        <v>1091</v>
      </c>
    </row>
    <row r="13" spans="1:9" x14ac:dyDescent="0.25">
      <c r="A13" s="103" t="s">
        <v>1092</v>
      </c>
      <c r="B13" s="24" t="s">
        <v>158</v>
      </c>
      <c r="C13" s="31" t="s">
        <v>159</v>
      </c>
      <c r="D13" s="24" t="s">
        <v>1086</v>
      </c>
      <c r="E13" s="24">
        <v>20</v>
      </c>
      <c r="F13" s="24">
        <v>5</v>
      </c>
      <c r="G13" s="24">
        <v>21</v>
      </c>
      <c r="H13" s="24" t="s">
        <v>1093</v>
      </c>
      <c r="I13" s="27" t="s">
        <v>1094</v>
      </c>
    </row>
    <row r="14" spans="1:9" x14ac:dyDescent="0.25">
      <c r="A14" s="104" t="s">
        <v>1095</v>
      </c>
      <c r="B14" s="24" t="s">
        <v>162</v>
      </c>
      <c r="C14" s="31" t="s">
        <v>163</v>
      </c>
      <c r="D14" s="24" t="s">
        <v>1086</v>
      </c>
      <c r="E14" s="24">
        <v>16</v>
      </c>
      <c r="F14" s="24">
        <v>6</v>
      </c>
      <c r="G14" s="24">
        <v>23</v>
      </c>
      <c r="H14" s="24" t="s">
        <v>1096</v>
      </c>
      <c r="I14" s="27" t="s">
        <v>1097</v>
      </c>
    </row>
    <row r="15" spans="1:9" x14ac:dyDescent="0.25">
      <c r="A15" s="105" t="s">
        <v>1098</v>
      </c>
      <c r="B15" s="24" t="s">
        <v>166</v>
      </c>
      <c r="C15" s="31" t="s">
        <v>167</v>
      </c>
      <c r="D15" s="24" t="s">
        <v>1086</v>
      </c>
      <c r="E15" s="24">
        <v>22</v>
      </c>
      <c r="F15" s="24">
        <v>10</v>
      </c>
      <c r="G15" s="24">
        <v>38</v>
      </c>
      <c r="H15" s="24" t="s">
        <v>1099</v>
      </c>
      <c r="I15" s="27" t="s">
        <v>1100</v>
      </c>
    </row>
    <row r="16" spans="1:9" x14ac:dyDescent="0.25">
      <c r="A16" s="106" t="s">
        <v>1101</v>
      </c>
      <c r="B16" s="24" t="s">
        <v>170</v>
      </c>
      <c r="C16" s="31" t="s">
        <v>171</v>
      </c>
      <c r="D16" s="24" t="s">
        <v>1102</v>
      </c>
      <c r="E16" s="24">
        <v>12</v>
      </c>
      <c r="F16" s="24">
        <v>6</v>
      </c>
      <c r="G16" s="24">
        <v>20</v>
      </c>
      <c r="H16" s="24" t="s">
        <v>1103</v>
      </c>
      <c r="I16" s="27" t="s">
        <v>1104</v>
      </c>
    </row>
    <row r="17" spans="1:9" x14ac:dyDescent="0.25">
      <c r="A17" s="107" t="s">
        <v>1105</v>
      </c>
      <c r="B17" s="24" t="s">
        <v>174</v>
      </c>
      <c r="C17" s="31" t="s">
        <v>175</v>
      </c>
      <c r="D17" s="24" t="s">
        <v>1102</v>
      </c>
      <c r="E17" s="24">
        <v>16</v>
      </c>
      <c r="F17" s="24">
        <v>6</v>
      </c>
      <c r="G17" s="24">
        <v>49</v>
      </c>
      <c r="H17" s="24" t="s">
        <v>1106</v>
      </c>
      <c r="I17" s="27" t="s">
        <v>1107</v>
      </c>
    </row>
    <row r="18" spans="1:9" x14ac:dyDescent="0.25">
      <c r="A18" s="108" t="s">
        <v>1108</v>
      </c>
      <c r="B18" s="24" t="s">
        <v>178</v>
      </c>
      <c r="C18" s="31" t="s">
        <v>179</v>
      </c>
      <c r="D18" s="24" t="s">
        <v>1102</v>
      </c>
      <c r="E18" s="24">
        <v>14</v>
      </c>
      <c r="F18" s="24">
        <v>3</v>
      </c>
      <c r="G18" s="24">
        <v>37</v>
      </c>
      <c r="H18" s="24" t="s">
        <v>1109</v>
      </c>
      <c r="I18" s="27" t="s">
        <v>1110</v>
      </c>
    </row>
  </sheetData>
  <mergeCells count="1">
    <mergeCell ref="A1:I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1B1B"/>
  </sheetPr>
  <dimension ref="A2:H38"/>
  <sheetViews>
    <sheetView workbookViewId="0" showGridLines="0"/>
  </sheetViews>
  <sheetFormatPr defaultRowHeight="15" outlineLevelRow="0" outlineLevelCol="0" x14ac:dyDescent="55"/>
  <cols>
    <col min="1" max="1" width="4" customWidth="1"/>
    <col min="2" max="2" width="28" customWidth="1"/>
    <col min="3" max="7" width="13" customWidth="1"/>
    <col min="8" max="8" width="44" customWidth="1"/>
  </cols>
  <sheetData>
    <row r="2" spans="2:2" x14ac:dyDescent="0.25">
      <c r="B2" s="109" t="s">
        <v>1111</v>
      </c>
    </row>
    <row r="4" ht="26" customHeight="1" spans="1:8" x14ac:dyDescent="0.25">
      <c r="A4" s="110" t="s">
        <v>79</v>
      </c>
      <c r="B4" s="110" t="s">
        <v>1112</v>
      </c>
      <c r="C4" s="110" t="s">
        <v>1113</v>
      </c>
      <c r="D4" s="110" t="s">
        <v>1114</v>
      </c>
      <c r="E4" s="110" t="s">
        <v>1115</v>
      </c>
      <c r="F4" s="110" t="s">
        <v>79</v>
      </c>
      <c r="G4" s="110" t="s">
        <v>79</v>
      </c>
      <c r="H4" s="110" t="s">
        <v>1116</v>
      </c>
    </row>
    <row r="5" ht="26" customHeight="1" spans="2:8" x14ac:dyDescent="0.25">
      <c r="B5" s="24" t="s">
        <v>1117</v>
      </c>
      <c r="C5" s="24">
        <f>COUNTIF(Aportaciones!$C$4:$C$160,"T1")</f>
      </c>
      <c r="D5" s="24">
        <f>COUNTIFS(Aportaciones!$C$4:$C$160,"T1",Aportaciones!$R$4:$R$160,"Enviada")</f>
      </c>
      <c r="E5" s="24">
        <f>COUNTIFS(Aportaciones!$C$4:$C$160,"T1",Aportaciones!$R$4:$R$160,"Revisada")</f>
      </c>
      <c r="F5" s="24"/>
      <c r="G5" s="24"/>
      <c r="H5" s="27" t="s">
        <v>1118</v>
      </c>
    </row>
    <row r="6" ht="26" customHeight="1" spans="2:8" x14ac:dyDescent="0.25">
      <c r="B6" s="24" t="s">
        <v>1119</v>
      </c>
      <c r="C6" s="24">
        <f>COUNTIF(Aportaciones!$C$4:$C$160,"T2")</f>
      </c>
      <c r="D6" s="24">
        <f>COUNTIFS(Aportaciones!$C$4:$C$160,"T2",Aportaciones!$R$4:$R$160,"Enviada")</f>
      </c>
      <c r="E6" s="24">
        <f>COUNTIFS(Aportaciones!$C$4:$C$160,"T2",Aportaciones!$R$4:$R$160,"Revisada")</f>
      </c>
      <c r="F6" s="24"/>
      <c r="G6" s="24"/>
      <c r="H6" s="27" t="s">
        <v>1120</v>
      </c>
    </row>
    <row r="7" ht="26" customHeight="1" spans="2:8" x14ac:dyDescent="0.25">
      <c r="B7" s="24" t="s">
        <v>1121</v>
      </c>
      <c r="C7" s="24">
        <f>COUNTIF(Aportaciones!$C$4:$C$160,"T3")</f>
      </c>
      <c r="D7" s="24">
        <f>COUNTIFS(Aportaciones!$C$4:$C$160,"T3",Aportaciones!$R$4:$R$160,"Enviada")</f>
      </c>
      <c r="E7" s="24">
        <f>COUNTIFS(Aportaciones!$C$4:$C$160,"T3",Aportaciones!$R$4:$R$160,"Revisada")</f>
      </c>
      <c r="F7" s="24"/>
      <c r="G7" s="24"/>
      <c r="H7" s="27" t="s">
        <v>1122</v>
      </c>
    </row>
    <row r="8" ht="26" customHeight="1" spans="2:8" x14ac:dyDescent="0.25">
      <c r="B8" s="24" t="s">
        <v>1123</v>
      </c>
      <c r="C8" s="24">
        <f>COUNTIF(Aportaciones!$C$4:$C$160,"T4")</f>
      </c>
      <c r="D8" s="24">
        <f>COUNTIFS(Aportaciones!$C$4:$C$160,"T4",Aportaciones!$R$4:$R$160,"Enviada")</f>
      </c>
      <c r="E8" s="24">
        <f>COUNTIFS(Aportaciones!$C$4:$C$160,"T4",Aportaciones!$R$4:$R$160,"Revisada")</f>
      </c>
      <c r="F8" s="24"/>
      <c r="G8" s="24"/>
      <c r="H8" s="27" t="s">
        <v>1124</v>
      </c>
    </row>
    <row r="11" ht="26" customHeight="1" spans="1:8" x14ac:dyDescent="0.25">
      <c r="A11" s="110" t="s">
        <v>79</v>
      </c>
      <c r="B11" s="110" t="s">
        <v>1125</v>
      </c>
      <c r="C11" s="110" t="s">
        <v>1126</v>
      </c>
      <c r="D11" s="110" t="s">
        <v>1114</v>
      </c>
      <c r="E11" s="110" t="s">
        <v>78</v>
      </c>
      <c r="F11" s="110" t="s">
        <v>1127</v>
      </c>
      <c r="G11" s="110" t="s">
        <v>79</v>
      </c>
      <c r="H11" s="110" t="s">
        <v>1059</v>
      </c>
    </row>
    <row r="12" spans="2:8" x14ac:dyDescent="0.25">
      <c r="B12" s="75" t="s">
        <v>114</v>
      </c>
      <c r="C12" s="24">
        <f>COUNTIF(Aportaciones!$A$4:$A$160,"Matemáticas")</f>
      </c>
      <c r="D12" s="24">
        <f>COUNTIFS(Aportaciones!$A$4:$A$160,"Matemáticas",Aportaciones!$R$4:$R$160,"Enviada")</f>
      </c>
      <c r="E12" s="24">
        <f>SUMIF(Aportaciones!$A$4:$A$160,"Matemáticas",Aportaciones!$M$4:$M$160)</f>
      </c>
      <c r="F12" s="24">
        <f>SUMPRODUCT((Aportaciones!$A$4:$A$160="Matemáticas")*Aportaciones!$M$4:$M$160*Aportaciones!$N$4:$N$160)</f>
      </c>
      <c r="G12" s="24"/>
      <c r="H12" s="111" t="s">
        <v>1128</v>
      </c>
    </row>
    <row r="13" spans="2:8" x14ac:dyDescent="0.25">
      <c r="B13" s="77" t="s">
        <v>122</v>
      </c>
      <c r="C13" s="24">
        <f>COUNTIF(Aportaciones!$A$4:$A$160,"Lengua Castellana")</f>
      </c>
      <c r="D13" s="24">
        <f>COUNTIFS(Aportaciones!$A$4:$A$160,"Lengua Castellana",Aportaciones!$R$4:$R$160,"Enviada")</f>
      </c>
      <c r="E13" s="24">
        <f>SUMIF(Aportaciones!$A$4:$A$160,"Lengua Castellana",Aportaciones!$M$4:$M$160)</f>
      </c>
      <c r="F13" s="24">
        <f>SUMPRODUCT((Aportaciones!$A$4:$A$160="Lengua Castellana")*Aportaciones!$M$4:$M$160*Aportaciones!$N$4:$N$160)</f>
      </c>
      <c r="G13" s="24"/>
      <c r="H13" s="111" t="s">
        <v>1129</v>
      </c>
    </row>
    <row r="14" spans="2:8" x14ac:dyDescent="0.25">
      <c r="B14" s="78" t="s">
        <v>126</v>
      </c>
      <c r="C14" s="24">
        <f>COUNTIF(Aportaciones!$A$4:$A$160,"Inglés")</f>
      </c>
      <c r="D14" s="24">
        <f>COUNTIFS(Aportaciones!$A$4:$A$160,"Inglés",Aportaciones!$R$4:$R$160,"Enviada")</f>
      </c>
      <c r="E14" s="24">
        <f>SUMIF(Aportaciones!$A$4:$A$160,"Inglés",Aportaciones!$M$4:$M$160)</f>
      </c>
      <c r="F14" s="24">
        <f>SUMPRODUCT((Aportaciones!$A$4:$A$160="Inglés")*Aportaciones!$M$4:$M$160*Aportaciones!$N$4:$N$160)</f>
      </c>
      <c r="G14" s="24"/>
      <c r="H14" s="111" t="s">
        <v>1130</v>
      </c>
    </row>
    <row r="15" spans="2:8" x14ac:dyDescent="0.25">
      <c r="B15" s="79" t="s">
        <v>130</v>
      </c>
      <c r="C15" s="24">
        <f>COUNTIF(Aportaciones!$A$4:$A$160,"Geografía e Historia")</f>
      </c>
      <c r="D15" s="24">
        <f>COUNTIFS(Aportaciones!$A$4:$A$160,"Geografía e Historia",Aportaciones!$R$4:$R$160,"Enviada")</f>
      </c>
      <c r="E15" s="24">
        <f>SUMIF(Aportaciones!$A$4:$A$160,"Geografía e Historia",Aportaciones!$M$4:$M$160)</f>
      </c>
      <c r="F15" s="24">
        <f>SUMPRODUCT((Aportaciones!$A$4:$A$160="Geografía e Historia")*Aportaciones!$M$4:$M$160*Aportaciones!$N$4:$N$160)</f>
      </c>
      <c r="G15" s="24"/>
      <c r="H15" s="111" t="s">
        <v>1131</v>
      </c>
    </row>
    <row r="16" spans="2:8" x14ac:dyDescent="0.25">
      <c r="B16" s="80" t="s">
        <v>134</v>
      </c>
      <c r="C16" s="24">
        <f>COUNTIF(Aportaciones!$A$4:$A$160,"Biología y Geología")</f>
      </c>
      <c r="D16" s="24">
        <f>COUNTIFS(Aportaciones!$A$4:$A$160,"Biología y Geología",Aportaciones!$R$4:$R$160,"Enviada")</f>
      </c>
      <c r="E16" s="24">
        <f>SUMIF(Aportaciones!$A$4:$A$160,"Biología y Geología",Aportaciones!$M$4:$M$160)</f>
      </c>
      <c r="F16" s="24">
        <f>SUMPRODUCT((Aportaciones!$A$4:$A$160="Biología y Geología")*Aportaciones!$M$4:$M$160*Aportaciones!$N$4:$N$160)</f>
      </c>
      <c r="G16" s="24"/>
      <c r="H16" s="111" t="s">
        <v>1132</v>
      </c>
    </row>
    <row r="17" spans="2:8" x14ac:dyDescent="0.25">
      <c r="B17" s="81" t="s">
        <v>138</v>
      </c>
      <c r="C17" s="24">
        <f>COUNTIF(Aportaciones!$A$4:$A$160,"Educación Física")</f>
      </c>
      <c r="D17" s="24">
        <f>COUNTIFS(Aportaciones!$A$4:$A$160,"Educación Física",Aportaciones!$R$4:$R$160,"Enviada")</f>
      </c>
      <c r="E17" s="24">
        <f>SUMIF(Aportaciones!$A$4:$A$160,"Educación Física",Aportaciones!$M$4:$M$160)</f>
      </c>
      <c r="F17" s="24">
        <f>SUMPRODUCT((Aportaciones!$A$4:$A$160="Educación Física")*Aportaciones!$M$4:$M$160*Aportaciones!$N$4:$N$160)</f>
      </c>
      <c r="G17" s="24"/>
      <c r="H17" s="111" t="s">
        <v>1133</v>
      </c>
    </row>
    <row r="18" spans="2:8" x14ac:dyDescent="0.25">
      <c r="B18" s="82" t="s">
        <v>142</v>
      </c>
      <c r="C18" s="24">
        <f>COUNTIF(Aportaciones!$A$4:$A$160,"Plástica y Audiovisual")</f>
      </c>
      <c r="D18" s="24">
        <f>COUNTIFS(Aportaciones!$A$4:$A$160,"Plástica y Audiovisual",Aportaciones!$R$4:$R$160,"Enviada")</f>
      </c>
      <c r="E18" s="24">
        <f>SUMIF(Aportaciones!$A$4:$A$160,"Plástica y Audiovisual",Aportaciones!$M$4:$M$160)</f>
      </c>
      <c r="F18" s="24">
        <f>SUMPRODUCT((Aportaciones!$A$4:$A$160="Plástica y Audiovisual")*Aportaciones!$M$4:$M$160*Aportaciones!$N$4:$N$160)</f>
      </c>
      <c r="G18" s="24"/>
      <c r="H18" s="111" t="s">
        <v>1134</v>
      </c>
    </row>
    <row r="19" spans="2:8" x14ac:dyDescent="0.25">
      <c r="B19" s="83" t="s">
        <v>146</v>
      </c>
      <c r="C19" s="24">
        <f>COUNTIF(Aportaciones!$A$4:$A$160,"Música")</f>
      </c>
      <c r="D19" s="24">
        <f>COUNTIFS(Aportaciones!$A$4:$A$160,"Música",Aportaciones!$R$4:$R$160,"Enviada")</f>
      </c>
      <c r="E19" s="24">
        <f>SUMIF(Aportaciones!$A$4:$A$160,"Música",Aportaciones!$M$4:$M$160)</f>
      </c>
      <c r="F19" s="24">
        <f>SUMPRODUCT((Aportaciones!$A$4:$A$160="Música")*Aportaciones!$M$4:$M$160*Aportaciones!$N$4:$N$160)</f>
      </c>
      <c r="G19" s="24"/>
      <c r="H19" s="111" t="s">
        <v>1135</v>
      </c>
    </row>
    <row r="20" spans="2:8" x14ac:dyDescent="0.25">
      <c r="B20" s="84" t="s">
        <v>150</v>
      </c>
      <c r="C20" s="24">
        <f>COUNTIF(Aportaciones!$A$4:$A$160,"Computación y Robótica")</f>
      </c>
      <c r="D20" s="24">
        <f>COUNTIFS(Aportaciones!$A$4:$A$160,"Computación y Robótica",Aportaciones!$R$4:$R$160,"Enviada")</f>
      </c>
      <c r="E20" s="24">
        <f>SUMIF(Aportaciones!$A$4:$A$160,"Computación y Robótica",Aportaciones!$M$4:$M$160)</f>
      </c>
      <c r="F20" s="24">
        <f>SUMPRODUCT((Aportaciones!$A$4:$A$160="Computación y Robótica")*Aportaciones!$M$4:$M$160*Aportaciones!$N$4:$N$160)</f>
      </c>
      <c r="G20" s="24"/>
      <c r="H20" s="111" t="s">
        <v>1136</v>
      </c>
    </row>
    <row r="21" spans="2:8" x14ac:dyDescent="0.25">
      <c r="B21" s="85" t="s">
        <v>154</v>
      </c>
      <c r="C21" s="24">
        <f>COUNTIF(Aportaciones!$A$4:$A$160,"Cultura Clásica")</f>
      </c>
      <c r="D21" s="24">
        <f>COUNTIFS(Aportaciones!$A$4:$A$160,"Cultura Clásica",Aportaciones!$R$4:$R$160,"Enviada")</f>
      </c>
      <c r="E21" s="24">
        <f>SUMIF(Aportaciones!$A$4:$A$160,"Cultura Clásica",Aportaciones!$M$4:$M$160)</f>
      </c>
      <c r="F21" s="24">
        <f>SUMPRODUCT((Aportaciones!$A$4:$A$160="Cultura Clásica")*Aportaciones!$M$4:$M$160*Aportaciones!$N$4:$N$160)</f>
      </c>
      <c r="G21" s="24"/>
      <c r="H21" s="111" t="s">
        <v>1137</v>
      </c>
    </row>
    <row r="22" spans="2:8" x14ac:dyDescent="0.25">
      <c r="B22" s="86" t="s">
        <v>158</v>
      </c>
      <c r="C22" s="24">
        <f>COUNTIF(Aportaciones!$A$4:$A$160,"Oratoria y Debate")</f>
      </c>
      <c r="D22" s="24">
        <f>COUNTIFS(Aportaciones!$A$4:$A$160,"Oratoria y Debate",Aportaciones!$R$4:$R$160,"Enviada")</f>
      </c>
      <c r="E22" s="24">
        <f>SUMIF(Aportaciones!$A$4:$A$160,"Oratoria y Debate",Aportaciones!$M$4:$M$160)</f>
      </c>
      <c r="F22" s="24">
        <f>SUMPRODUCT((Aportaciones!$A$4:$A$160="Oratoria y Debate")*Aportaciones!$M$4:$M$160*Aportaciones!$N$4:$N$160)</f>
      </c>
      <c r="G22" s="24"/>
      <c r="H22" s="111" t="s">
        <v>1138</v>
      </c>
    </row>
    <row r="23" spans="2:8" x14ac:dyDescent="0.25">
      <c r="B23" s="87" t="s">
        <v>162</v>
      </c>
      <c r="C23" s="24">
        <f>COUNTIF(Aportaciones!$A$4:$A$160,"Francés")</f>
      </c>
      <c r="D23" s="24">
        <f>COUNTIFS(Aportaciones!$A$4:$A$160,"Francés",Aportaciones!$R$4:$R$160,"Enviada")</f>
      </c>
      <c r="E23" s="24">
        <f>SUMIF(Aportaciones!$A$4:$A$160,"Francés",Aportaciones!$M$4:$M$160)</f>
      </c>
      <c r="F23" s="24">
        <f>SUMPRODUCT((Aportaciones!$A$4:$A$160="Francés")*Aportaciones!$M$4:$M$160*Aportaciones!$N$4:$N$160)</f>
      </c>
      <c r="G23" s="24"/>
      <c r="H23" s="111" t="s">
        <v>1139</v>
      </c>
    </row>
    <row r="24" spans="2:8" x14ac:dyDescent="0.25">
      <c r="B24" s="88" t="s">
        <v>166</v>
      </c>
      <c r="C24" s="24">
        <f>COUNTIF(Aportaciones!$A$4:$A$160,"Área Lingüística")</f>
      </c>
      <c r="D24" s="24">
        <f>COUNTIFS(Aportaciones!$A$4:$A$160,"Área Lingüística",Aportaciones!$R$4:$R$160,"Enviada")</f>
      </c>
      <c r="E24" s="24">
        <f>SUMIF(Aportaciones!$A$4:$A$160,"Área Lingüística",Aportaciones!$M$4:$M$160)</f>
      </c>
      <c r="F24" s="24">
        <f>SUMPRODUCT((Aportaciones!$A$4:$A$160="Área Lingüística")*Aportaciones!$M$4:$M$160*Aportaciones!$N$4:$N$160)</f>
      </c>
      <c r="G24" s="24"/>
      <c r="H24" s="111" t="s">
        <v>1140</v>
      </c>
    </row>
    <row r="25" spans="2:8" x14ac:dyDescent="0.25">
      <c r="B25" s="89" t="s">
        <v>170</v>
      </c>
      <c r="C25" s="24">
        <f>COUNTIF(Aportaciones!$A$4:$A$160,"Religión Católica")</f>
      </c>
      <c r="D25" s="24">
        <f>COUNTIFS(Aportaciones!$A$4:$A$160,"Religión Católica",Aportaciones!$R$4:$R$160,"Enviada")</f>
      </c>
      <c r="E25" s="24">
        <f>SUMIF(Aportaciones!$A$4:$A$160,"Religión Católica",Aportaciones!$M$4:$M$160)</f>
      </c>
      <c r="F25" s="24">
        <f>SUMPRODUCT((Aportaciones!$A$4:$A$160="Religión Católica")*Aportaciones!$M$4:$M$160*Aportaciones!$N$4:$N$160)</f>
      </c>
      <c r="G25" s="24"/>
      <c r="H25" s="111" t="s">
        <v>1141</v>
      </c>
    </row>
    <row r="26" spans="2:8" x14ac:dyDescent="0.25">
      <c r="B26" s="90" t="s">
        <v>174</v>
      </c>
      <c r="C26" s="24">
        <f>COUNTIF(Aportaciones!$A$4:$A$160,"Religión Evangélica")</f>
      </c>
      <c r="D26" s="24">
        <f>COUNTIFS(Aportaciones!$A$4:$A$160,"Religión Evangélica",Aportaciones!$R$4:$R$160,"Enviada")</f>
      </c>
      <c r="E26" s="24">
        <f>SUMIF(Aportaciones!$A$4:$A$160,"Religión Evangélica",Aportaciones!$M$4:$M$160)</f>
      </c>
      <c r="F26" s="24">
        <f>SUMPRODUCT((Aportaciones!$A$4:$A$160="Religión Evangélica")*Aportaciones!$M$4:$M$160*Aportaciones!$N$4:$N$160)</f>
      </c>
      <c r="G26" s="24"/>
      <c r="H26" s="111" t="s">
        <v>1142</v>
      </c>
    </row>
    <row r="27" spans="2:8" x14ac:dyDescent="0.25">
      <c r="B27" s="91" t="s">
        <v>178</v>
      </c>
      <c r="C27" s="24">
        <f>COUNTIF(Aportaciones!$A$4:$A$160,"Religión Islámica")</f>
      </c>
      <c r="D27" s="24">
        <f>COUNTIFS(Aportaciones!$A$4:$A$160,"Religión Islámica",Aportaciones!$R$4:$R$160,"Enviada")</f>
      </c>
      <c r="E27" s="24">
        <f>SUMIF(Aportaciones!$A$4:$A$160,"Religión Islámica",Aportaciones!$M$4:$M$160)</f>
      </c>
      <c r="F27" s="24">
        <f>SUMPRODUCT((Aportaciones!$A$4:$A$160="Religión Islámica")*Aportaciones!$M$4:$M$160*Aportaciones!$N$4:$N$160)</f>
      </c>
      <c r="G27" s="24"/>
      <c r="H27" s="111" t="s">
        <v>1143</v>
      </c>
    </row>
    <row r="30" ht="26" customHeight="1" spans="1:8" x14ac:dyDescent="0.25">
      <c r="A30" s="110" t="s">
        <v>79</v>
      </c>
      <c r="B30" s="110" t="s">
        <v>1144</v>
      </c>
      <c r="C30" s="110" t="s">
        <v>1145</v>
      </c>
      <c r="D30" s="110" t="s">
        <v>79</v>
      </c>
      <c r="E30" s="110" t="s">
        <v>79</v>
      </c>
      <c r="F30" s="110" t="s">
        <v>79</v>
      </c>
      <c r="G30" s="110" t="s">
        <v>79</v>
      </c>
      <c r="H30" s="110" t="s">
        <v>1146</v>
      </c>
    </row>
    <row r="31" spans="2:8" x14ac:dyDescent="0.25">
      <c r="B31" s="24" t="s">
        <v>107</v>
      </c>
      <c r="C31" s="24">
        <f>COUNTIF(Aportaciones!$D$4:$D$160,"1 · Nuestra tienda")</f>
      </c>
      <c r="D31" s="24"/>
      <c r="E31" s="24"/>
      <c r="F31" s="24"/>
      <c r="G31" s="24"/>
      <c r="H31" s="24" t="s">
        <v>1147</v>
      </c>
    </row>
    <row r="32" spans="2:8" x14ac:dyDescent="0.25">
      <c r="B32" s="24" t="s">
        <v>108</v>
      </c>
      <c r="C32" s="24">
        <f>COUNTIF(Aportaciones!$D$4:$D$160,"2 · Pedidos y cambio")</f>
      </c>
      <c r="D32" s="24"/>
      <c r="E32" s="24"/>
      <c r="F32" s="24"/>
      <c r="G32" s="24"/>
      <c r="H32" s="24" t="s">
        <v>1148</v>
      </c>
    </row>
    <row r="33" spans="2:8" x14ac:dyDescent="0.25">
      <c r="B33" s="24" t="s">
        <v>109</v>
      </c>
      <c r="C33" s="24">
        <f>COUNTIF(Aportaciones!$D$4:$D$160,"3 · Ofertas con sentido")</f>
      </c>
      <c r="D33" s="24"/>
      <c r="E33" s="24"/>
      <c r="F33" s="24"/>
      <c r="G33" s="24"/>
      <c r="H33" s="24" t="s">
        <v>1149</v>
      </c>
    </row>
    <row r="34" spans="2:8" x14ac:dyDescent="0.25">
      <c r="B34" s="24" t="s">
        <v>110</v>
      </c>
      <c r="C34" s="24">
        <f>COUNTIF(Aportaciones!$D$4:$D$160,"4 · Primer mercado")</f>
      </c>
      <c r="D34" s="24"/>
      <c r="E34" s="24"/>
      <c r="F34" s="24"/>
      <c r="G34" s="24"/>
      <c r="H34" s="24" t="s">
        <v>1150</v>
      </c>
    </row>
    <row r="35" spans="2:8" x14ac:dyDescent="0.25">
      <c r="B35" s="24" t="s">
        <v>111</v>
      </c>
      <c r="C35" s="24">
        <f>COUNTIF(Aportaciones!$D$4:$D$160,"5 · Los datos nos ayudan")</f>
      </c>
      <c r="D35" s="24"/>
      <c r="E35" s="24"/>
      <c r="F35" s="24"/>
      <c r="G35" s="24"/>
      <c r="H35" s="24" t="s">
        <v>1151</v>
      </c>
    </row>
    <row r="36" spans="2:8" x14ac:dyDescent="0.25">
      <c r="B36" s="24" t="s">
        <v>112</v>
      </c>
      <c r="C36" s="24">
        <f>COUNTIF(Aportaciones!$D$4:$D$160,"6 · Mejoramos y contamos")</f>
      </c>
      <c r="D36" s="24"/>
      <c r="E36" s="24"/>
      <c r="F36" s="24"/>
      <c r="G36" s="24"/>
      <c r="H36" s="24" t="s">
        <v>1152</v>
      </c>
    </row>
    <row r="38" spans="2:2" x14ac:dyDescent="0.25">
      <c r="B38" s="32" t="s">
        <v>1153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Léeme</vt:lpstr>
      <vt:lpstr>Calendario</vt:lpstr>
      <vt:lpstr>Mural</vt:lpstr>
      <vt:lpstr>Aportaciones</vt:lpstr>
      <vt:lpstr>Criterios</vt:lpstr>
      <vt:lpstr>Materias</vt:lpstr>
      <vt:lpstr>Panel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 interdisciplinar 1.º ESO · IES Al-Ándalus</dc:creator>
  <dc:title/>
  <dc:subject/>
  <dc:description/>
  <cp:keywords/>
  <cp:category/>
  <cp:lastModifiedBy>Unknown</cp:lastModifiedBy>
  <dcterms:created xsi:type="dcterms:W3CDTF">2026-10-04T09:31:11Z</dcterms:created>
  <dcterms:modified xsi:type="dcterms:W3CDTF">2026-10-04T09:31:11Z</dcterms:modified>
</cp:coreProperties>
</file>